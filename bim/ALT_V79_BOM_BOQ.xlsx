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Pipe runs" sheetId="2" state="visible" r:id="rId2"/>
    <sheet xmlns:r="http://schemas.openxmlformats.org/officeDocument/2006/relationships" name="Valves &amp; instruments" sheetId="3" state="visible" r:id="rId3"/>
    <sheet xmlns:r="http://schemas.openxmlformats.org/officeDocument/2006/relationships" name="Fittings" sheetId="4" state="visible" r:id="rId4"/>
    <sheet xmlns:r="http://schemas.openxmlformats.org/officeDocument/2006/relationships" name="Supports" sheetId="5" state="visible" r:id="rId5"/>
    <sheet xmlns:r="http://schemas.openxmlformats.org/officeDocument/2006/relationships" name="Equipment" sheetId="6" state="visible" r:id="rId6"/>
    <sheet xmlns:r="http://schemas.openxmlformats.org/officeDocument/2006/relationships" name="COBie_Compon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7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ลำดับ</t>
        </is>
      </c>
      <c r="B1" s="1" t="inlineStr">
        <is>
          <t>หมวด</t>
        </is>
      </c>
      <c r="C1" s="1" t="inlineStr">
        <is>
          <t>รายการ</t>
        </is>
      </c>
      <c r="D1" s="1" t="inlineStr">
        <is>
          <t>หน่วย</t>
        </is>
      </c>
      <c r="E1" s="1" t="inlineStr">
        <is>
          <t>ปริมาณ</t>
        </is>
      </c>
      <c r="F1" s="1" t="inlineStr">
        <is>
          <t>ค่าวัสดุ/หน่วย (บาท)</t>
        </is>
      </c>
      <c r="G1" s="1" t="inlineStr">
        <is>
          <t>ค่าแรง/หน่วย (บาท)</t>
        </is>
      </c>
      <c r="H1" s="1" t="inlineStr">
        <is>
          <t>รวมค่าวัสดุ</t>
        </is>
      </c>
      <c r="I1" s="1" t="inlineStr">
        <is>
          <t>รวมค่าแรง</t>
        </is>
      </c>
      <c r="J1" s="1" t="inlineStr">
        <is>
          <t>รวม (บาท)</t>
        </is>
      </c>
    </row>
    <row r="2">
      <c r="A2" s="2" t="n">
        <v>1</v>
      </c>
      <c r="B2" s="2" t="inlineStr">
        <is>
          <t>1 ท่อ / Pipe</t>
        </is>
      </c>
      <c r="C2" s="2" t="inlineStr">
        <is>
          <t>ท่อเหล็กดำ ASTM A53 Sch.40 Ø18" — CDR Condenser water return</t>
        </is>
      </c>
      <c r="D2" s="2" t="inlineStr">
        <is>
          <t>m</t>
        </is>
      </c>
      <c r="E2" s="2" t="n">
        <v>118.83</v>
      </c>
      <c r="F2" s="3" t="n"/>
      <c r="G2" s="3" t="n"/>
      <c r="H2" s="4">
        <f>E2*F2</f>
        <v/>
      </c>
      <c r="I2" s="4">
        <f>E2*G2</f>
        <v/>
      </c>
      <c r="J2" s="4">
        <f>H2+I2</f>
        <v/>
      </c>
    </row>
    <row r="3">
      <c r="A3" s="2" t="n">
        <v>2</v>
      </c>
      <c r="B3" s="2" t="inlineStr">
        <is>
          <t>1 ท่อ / Pipe</t>
        </is>
      </c>
      <c r="C3" s="2" t="inlineStr">
        <is>
          <t>ท่อเหล็กดำ ASTM A53 Sch.40 Ø8" — CDR Condenser water return</t>
        </is>
      </c>
      <c r="D3" s="2" t="inlineStr">
        <is>
          <t>m</t>
        </is>
      </c>
      <c r="E3" s="2" t="n">
        <v>31.02</v>
      </c>
      <c r="F3" s="3" t="n"/>
      <c r="G3" s="3" t="n"/>
      <c r="H3" s="4">
        <f>E3*F3</f>
        <v/>
      </c>
      <c r="I3" s="4">
        <f>E3*G3</f>
        <v/>
      </c>
      <c r="J3" s="4">
        <f>H3+I3</f>
        <v/>
      </c>
    </row>
    <row r="4">
      <c r="A4" s="2" t="n">
        <v>3</v>
      </c>
      <c r="B4" s="2" t="inlineStr">
        <is>
          <t>1 ท่อ / Pipe</t>
        </is>
      </c>
      <c r="C4" s="2" t="inlineStr">
        <is>
          <t>ท่อเหล็กดำ ASTM A53 Sch.40 Ø18" — CDS Condenser water supply</t>
        </is>
      </c>
      <c r="D4" s="2" t="inlineStr">
        <is>
          <t>m</t>
        </is>
      </c>
      <c r="E4" s="2" t="n">
        <v>157</v>
      </c>
      <c r="F4" s="3" t="n"/>
      <c r="G4" s="3" t="n"/>
      <c r="H4" s="4">
        <f>E4*F4</f>
        <v/>
      </c>
      <c r="I4" s="4">
        <f>E4*G4</f>
        <v/>
      </c>
      <c r="J4" s="4">
        <f>H4+I4</f>
        <v/>
      </c>
    </row>
    <row r="5">
      <c r="A5" s="2" t="n">
        <v>4</v>
      </c>
      <c r="B5" s="2" t="inlineStr">
        <is>
          <t>1 ท่อ / Pipe</t>
        </is>
      </c>
      <c r="C5" s="2" t="inlineStr">
        <is>
          <t>ท่อเหล็กดำ ASTM A53 Sch.40 Ø8" — CDS Condenser water supply</t>
        </is>
      </c>
      <c r="D5" s="2" t="inlineStr">
        <is>
          <t>m</t>
        </is>
      </c>
      <c r="E5" s="2" t="n">
        <v>15.88</v>
      </c>
      <c r="F5" s="3" t="n"/>
      <c r="G5" s="3" t="n"/>
      <c r="H5" s="4">
        <f>E5*F5</f>
        <v/>
      </c>
      <c r="I5" s="4">
        <f>E5*G5</f>
        <v/>
      </c>
      <c r="J5" s="4">
        <f>H5+I5</f>
        <v/>
      </c>
    </row>
    <row r="6">
      <c r="A6" s="2" t="n">
        <v>5</v>
      </c>
      <c r="B6" s="2" t="inlineStr">
        <is>
          <t>1 ท่อ / Pipe</t>
        </is>
      </c>
      <c r="C6" s="2" t="inlineStr">
        <is>
          <t>ท่อเหล็กดำ ASTM A53 Sch.40 Ø16" — CHR Chilled water return</t>
        </is>
      </c>
      <c r="D6" s="2" t="inlineStr">
        <is>
          <t>m</t>
        </is>
      </c>
      <c r="E6" s="2" t="n">
        <v>91.48</v>
      </c>
      <c r="F6" s="3" t="n"/>
      <c r="G6" s="3" t="n"/>
      <c r="H6" s="4">
        <f>E6*F6</f>
        <v/>
      </c>
      <c r="I6" s="4">
        <f>E6*G6</f>
        <v/>
      </c>
      <c r="J6" s="4">
        <f>H6+I6</f>
        <v/>
      </c>
    </row>
    <row r="7">
      <c r="A7" s="2" t="n">
        <v>6</v>
      </c>
      <c r="B7" s="2" t="inlineStr">
        <is>
          <t>1 ท่อ / Pipe</t>
        </is>
      </c>
      <c r="C7" s="2" t="inlineStr">
        <is>
          <t>ท่อเหล็กดำ ASTM A53 Sch.40 Ø8" — CHR Chilled water return</t>
        </is>
      </c>
      <c r="D7" s="2" t="inlineStr">
        <is>
          <t>m</t>
        </is>
      </c>
      <c r="E7" s="2" t="n">
        <v>8.619999999999999</v>
      </c>
      <c r="F7" s="3" t="n"/>
      <c r="G7" s="3" t="n"/>
      <c r="H7" s="4">
        <f>E7*F7</f>
        <v/>
      </c>
      <c r="I7" s="4">
        <f>E7*G7</f>
        <v/>
      </c>
      <c r="J7" s="4">
        <f>H7+I7</f>
        <v/>
      </c>
    </row>
    <row r="8">
      <c r="A8" s="2" t="n">
        <v>7</v>
      </c>
      <c r="B8" s="2" t="inlineStr">
        <is>
          <t>1 ท่อ / Pipe</t>
        </is>
      </c>
      <c r="C8" s="2" t="inlineStr">
        <is>
          <t>ท่อเหล็กดำ ASTM A53 Sch.40 Ø4" — CHR Chilled water return</t>
        </is>
      </c>
      <c r="D8" s="2" t="inlineStr">
        <is>
          <t>m</t>
        </is>
      </c>
      <c r="E8" s="2" t="n">
        <v>58.06</v>
      </c>
      <c r="F8" s="3" t="n"/>
      <c r="G8" s="3" t="n"/>
      <c r="H8" s="4">
        <f>E8*F8</f>
        <v/>
      </c>
      <c r="I8" s="4">
        <f>E8*G8</f>
        <v/>
      </c>
      <c r="J8" s="4">
        <f>H8+I8</f>
        <v/>
      </c>
    </row>
    <row r="9">
      <c r="A9" s="2" t="n">
        <v>8</v>
      </c>
      <c r="B9" s="2" t="inlineStr">
        <is>
          <t>1 ท่อ / Pipe</t>
        </is>
      </c>
      <c r="C9" s="2" t="inlineStr">
        <is>
          <t>ท่อเหล็กดำ ASTM A53 Sch.40 Ø2" — CHR Chilled water return</t>
        </is>
      </c>
      <c r="D9" s="2" t="inlineStr">
        <is>
          <t>m</t>
        </is>
      </c>
      <c r="E9" s="2" t="n">
        <v>1.12</v>
      </c>
      <c r="F9" s="3" t="n"/>
      <c r="G9" s="3" t="n"/>
      <c r="H9" s="4">
        <f>E9*F9</f>
        <v/>
      </c>
      <c r="I9" s="4">
        <f>E9*G9</f>
        <v/>
      </c>
      <c r="J9" s="4">
        <f>H9+I9</f>
        <v/>
      </c>
    </row>
    <row r="10">
      <c r="A10" s="2" t="n">
        <v>9</v>
      </c>
      <c r="B10" s="2" t="inlineStr">
        <is>
          <t>1 ท่อ / Pipe</t>
        </is>
      </c>
      <c r="C10" s="2" t="inlineStr">
        <is>
          <t>ท่อเหล็กดำ ASTM A53 Sch.40 Ø16" — CHS Chilled water supply</t>
        </is>
      </c>
      <c r="D10" s="2" t="inlineStr">
        <is>
          <t>m</t>
        </is>
      </c>
      <c r="E10" s="2" t="n">
        <v>74.2</v>
      </c>
      <c r="F10" s="3" t="n"/>
      <c r="G10" s="3" t="n"/>
      <c r="H10" s="4">
        <f>E10*F10</f>
        <v/>
      </c>
      <c r="I10" s="4">
        <f>E10*G10</f>
        <v/>
      </c>
      <c r="J10" s="4">
        <f>H10+I10</f>
        <v/>
      </c>
    </row>
    <row r="11">
      <c r="A11" s="2" t="n">
        <v>10</v>
      </c>
      <c r="B11" s="2" t="inlineStr">
        <is>
          <t>1 ท่อ / Pipe</t>
        </is>
      </c>
      <c r="C11" s="2" t="inlineStr">
        <is>
          <t>ท่อเหล็กดำ ASTM A53 Sch.40 Ø8" — CHS Chilled water supply</t>
        </is>
      </c>
      <c r="D11" s="2" t="inlineStr">
        <is>
          <t>m</t>
        </is>
      </c>
      <c r="E11" s="2" t="n">
        <v>6.37</v>
      </c>
      <c r="F11" s="3" t="n"/>
      <c r="G11" s="3" t="n"/>
      <c r="H11" s="4">
        <f>E11*F11</f>
        <v/>
      </c>
      <c r="I11" s="4">
        <f>E11*G11</f>
        <v/>
      </c>
      <c r="J11" s="4">
        <f>H11+I11</f>
        <v/>
      </c>
    </row>
    <row r="12">
      <c r="A12" s="2" t="n">
        <v>11</v>
      </c>
      <c r="B12" s="2" t="inlineStr">
        <is>
          <t>1 ท่อ / Pipe</t>
        </is>
      </c>
      <c r="C12" s="2" t="inlineStr">
        <is>
          <t>ท่อเหล็กดำ ASTM A53 Sch.40 Ø6" — CHS Chilled water supply</t>
        </is>
      </c>
      <c r="D12" s="2" t="inlineStr">
        <is>
          <t>m</t>
        </is>
      </c>
      <c r="E12" s="2" t="n">
        <v>4.91</v>
      </c>
      <c r="F12" s="3" t="n"/>
      <c r="G12" s="3" t="n"/>
      <c r="H12" s="4">
        <f>E12*F12</f>
        <v/>
      </c>
      <c r="I12" s="4">
        <f>E12*G12</f>
        <v/>
      </c>
      <c r="J12" s="4">
        <f>H12+I12</f>
        <v/>
      </c>
    </row>
    <row r="13">
      <c r="A13" s="2" t="n">
        <v>12</v>
      </c>
      <c r="B13" s="2" t="inlineStr">
        <is>
          <t>1 ท่อ / Pipe</t>
        </is>
      </c>
      <c r="C13" s="2" t="inlineStr">
        <is>
          <t>ท่อเหล็กดำ ASTM A53 Sch.40 Ø4" — CHS Chilled water supply</t>
        </is>
      </c>
      <c r="D13" s="2" t="inlineStr">
        <is>
          <t>m</t>
        </is>
      </c>
      <c r="E13" s="2" t="n">
        <v>41.9</v>
      </c>
      <c r="F13" s="3" t="n"/>
      <c r="G13" s="3" t="n"/>
      <c r="H13" s="4">
        <f>E13*F13</f>
        <v/>
      </c>
      <c r="I13" s="4">
        <f>E13*G13</f>
        <v/>
      </c>
      <c r="J13" s="4">
        <f>H13+I13</f>
        <v/>
      </c>
    </row>
    <row r="14">
      <c r="A14" s="2" t="n">
        <v>13</v>
      </c>
      <c r="B14" s="2" t="inlineStr">
        <is>
          <t>2 ฉนวน / Insulation</t>
        </is>
      </c>
      <c r="C14" s="2" t="inlineStr">
        <is>
          <t>ฉนวนยางสังเคราะห์ 25 มม. + แผ่นอะลูมิเนียมหุ้ม ท่อ Ø16"</t>
        </is>
      </c>
      <c r="D14" s="2" t="inlineStr">
        <is>
          <t>m</t>
        </is>
      </c>
      <c r="E14" s="2" t="n">
        <v>165.68</v>
      </c>
      <c r="F14" s="3" t="n"/>
      <c r="G14" s="3" t="n"/>
      <c r="H14" s="4">
        <f>E14*F14</f>
        <v/>
      </c>
      <c r="I14" s="4">
        <f>E14*G14</f>
        <v/>
      </c>
      <c r="J14" s="4">
        <f>H14+I14</f>
        <v/>
      </c>
    </row>
    <row r="15">
      <c r="A15" s="2" t="n">
        <v>14</v>
      </c>
      <c r="B15" s="2" t="inlineStr">
        <is>
          <t>2 ฉนวน / Insulation</t>
        </is>
      </c>
      <c r="C15" s="2" t="inlineStr">
        <is>
          <t>ฉนวนยางสังเคราะห์ 25 มม. + แผ่นอะลูมิเนียมหุ้ม ท่อ Ø8"</t>
        </is>
      </c>
      <c r="D15" s="2" t="inlineStr">
        <is>
          <t>m</t>
        </is>
      </c>
      <c r="E15" s="2" t="n">
        <v>14.99</v>
      </c>
      <c r="F15" s="3" t="n"/>
      <c r="G15" s="3" t="n"/>
      <c r="H15" s="4">
        <f>E15*F15</f>
        <v/>
      </c>
      <c r="I15" s="4">
        <f>E15*G15</f>
        <v/>
      </c>
      <c r="J15" s="4">
        <f>H15+I15</f>
        <v/>
      </c>
    </row>
    <row r="16">
      <c r="A16" s="2" t="n">
        <v>15</v>
      </c>
      <c r="B16" s="2" t="inlineStr">
        <is>
          <t>2 ฉนวน / Insulation</t>
        </is>
      </c>
      <c r="C16" s="2" t="inlineStr">
        <is>
          <t>ฉนวนยางสังเคราะห์ 25 มม. + แผ่นอะลูมิเนียมหุ้ม ท่อ Ø6"</t>
        </is>
      </c>
      <c r="D16" s="2" t="inlineStr">
        <is>
          <t>m</t>
        </is>
      </c>
      <c r="E16" s="2" t="n">
        <v>4.91</v>
      </c>
      <c r="F16" s="3" t="n"/>
      <c r="G16" s="3" t="n"/>
      <c r="H16" s="4">
        <f>E16*F16</f>
        <v/>
      </c>
      <c r="I16" s="4">
        <f>E16*G16</f>
        <v/>
      </c>
      <c r="J16" s="4">
        <f>H16+I16</f>
        <v/>
      </c>
    </row>
    <row r="17">
      <c r="A17" s="2" t="n">
        <v>16</v>
      </c>
      <c r="B17" s="2" t="inlineStr">
        <is>
          <t>2 ฉนวน / Insulation</t>
        </is>
      </c>
      <c r="C17" s="2" t="inlineStr">
        <is>
          <t>ฉนวนยางสังเคราะห์ 25 มม. + แผ่นอะลูมิเนียมหุ้ม ท่อ Ø4"</t>
        </is>
      </c>
      <c r="D17" s="2" t="inlineStr">
        <is>
          <t>m</t>
        </is>
      </c>
      <c r="E17" s="2" t="n">
        <v>99.95999999999999</v>
      </c>
      <c r="F17" s="3" t="n"/>
      <c r="G17" s="3" t="n"/>
      <c r="H17" s="4">
        <f>E17*F17</f>
        <v/>
      </c>
      <c r="I17" s="4">
        <f>E17*G17</f>
        <v/>
      </c>
      <c r="J17" s="4">
        <f>H17+I17</f>
        <v/>
      </c>
    </row>
    <row r="18">
      <c r="A18" s="2" t="n">
        <v>17</v>
      </c>
      <c r="B18" s="2" t="inlineStr">
        <is>
          <t>2 ฉนวน / Insulation</t>
        </is>
      </c>
      <c r="C18" s="2" t="inlineStr">
        <is>
          <t>ฉนวนยางสังเคราะห์ 25 มม. + แผ่นอะลูมิเนียมหุ้ม ท่อ Ø2"</t>
        </is>
      </c>
      <c r="D18" s="2" t="inlineStr">
        <is>
          <t>m</t>
        </is>
      </c>
      <c r="E18" s="2" t="n">
        <v>1.12</v>
      </c>
      <c r="F18" s="3" t="n"/>
      <c r="G18" s="3" t="n"/>
      <c r="H18" s="4">
        <f>E18*F18</f>
        <v/>
      </c>
      <c r="I18" s="4">
        <f>E18*G18</f>
        <v/>
      </c>
      <c r="J18" s="4">
        <f>H18+I18</f>
        <v/>
      </c>
    </row>
    <row r="19">
      <c r="A19" s="2" t="n">
        <v>18</v>
      </c>
      <c r="B19" s="2" t="inlineStr">
        <is>
          <t>3 ข้อต่อ / Fittings</t>
        </is>
      </c>
      <c r="C19" s="2" t="inlineStr">
        <is>
          <t>ข้องอ 90° long radius Ø18"</t>
        </is>
      </c>
      <c r="D19" s="2" t="inlineStr">
        <is>
          <t>ea</t>
        </is>
      </c>
      <c r="E19" s="2" t="n">
        <v>3</v>
      </c>
      <c r="F19" s="3" t="n"/>
      <c r="G19" s="3" t="n"/>
      <c r="H19" s="4">
        <f>E19*F19</f>
        <v/>
      </c>
      <c r="I19" s="4">
        <f>E19*G19</f>
        <v/>
      </c>
      <c r="J19" s="4">
        <f>H19+I19</f>
        <v/>
      </c>
    </row>
    <row r="20">
      <c r="A20" s="2" t="n">
        <v>19</v>
      </c>
      <c r="B20" s="2" t="inlineStr">
        <is>
          <t>3 ข้อต่อ / Fittings</t>
        </is>
      </c>
      <c r="C20" s="2" t="inlineStr">
        <is>
          <t>ข้องอ 90° long radius Ø16"</t>
        </is>
      </c>
      <c r="D20" s="2" t="inlineStr">
        <is>
          <t>ea</t>
        </is>
      </c>
      <c r="E20" s="2" t="n">
        <v>1</v>
      </c>
      <c r="F20" s="3" t="n"/>
      <c r="G20" s="3" t="n"/>
      <c r="H20" s="4">
        <f>E20*F20</f>
        <v/>
      </c>
      <c r="I20" s="4">
        <f>E20*G20</f>
        <v/>
      </c>
      <c r="J20" s="4">
        <f>H20+I20</f>
        <v/>
      </c>
    </row>
    <row r="21">
      <c r="A21" s="2" t="n">
        <v>20</v>
      </c>
      <c r="B21" s="2" t="inlineStr">
        <is>
          <t>3 ข้อต่อ / Fittings</t>
        </is>
      </c>
      <c r="C21" s="2" t="inlineStr">
        <is>
          <t>ข้องอ 90° long radius Ø8"</t>
        </is>
      </c>
      <c r="D21" s="2" t="inlineStr">
        <is>
          <t>ea</t>
        </is>
      </c>
      <c r="E21" s="2" t="n">
        <v>16</v>
      </c>
      <c r="F21" s="3" t="n"/>
      <c r="G21" s="3" t="n"/>
      <c r="H21" s="4">
        <f>E21*F21</f>
        <v/>
      </c>
      <c r="I21" s="4">
        <f>E21*G21</f>
        <v/>
      </c>
      <c r="J21" s="4">
        <f>H21+I21</f>
        <v/>
      </c>
    </row>
    <row r="22">
      <c r="A22" s="2" t="n">
        <v>21</v>
      </c>
      <c r="B22" s="2" t="inlineStr">
        <is>
          <t>3 ข้อต่อ / Fittings</t>
        </is>
      </c>
      <c r="C22" s="2" t="inlineStr">
        <is>
          <t>ข้องอ 90° long radius Ø6"</t>
        </is>
      </c>
      <c r="D22" s="2" t="inlineStr">
        <is>
          <t>ea</t>
        </is>
      </c>
      <c r="E22" s="2" t="n">
        <v>3</v>
      </c>
      <c r="F22" s="3" t="n"/>
      <c r="G22" s="3" t="n"/>
      <c r="H22" s="4">
        <f>E22*F22</f>
        <v/>
      </c>
      <c r="I22" s="4">
        <f>E22*G22</f>
        <v/>
      </c>
      <c r="J22" s="4">
        <f>H22+I22</f>
        <v/>
      </c>
    </row>
    <row r="23">
      <c r="A23" s="2" t="n">
        <v>22</v>
      </c>
      <c r="B23" s="2" t="inlineStr">
        <is>
          <t>3 ข้อต่อ / Fittings</t>
        </is>
      </c>
      <c r="C23" s="2" t="inlineStr">
        <is>
          <t>ข้องอ 90° long radius Ø4"</t>
        </is>
      </c>
      <c r="D23" s="2" t="inlineStr">
        <is>
          <t>ea</t>
        </is>
      </c>
      <c r="E23" s="2" t="n">
        <v>28</v>
      </c>
      <c r="F23" s="3" t="n"/>
      <c r="G23" s="3" t="n"/>
      <c r="H23" s="4">
        <f>E23*F23</f>
        <v/>
      </c>
      <c r="I23" s="4">
        <f>E23*G23</f>
        <v/>
      </c>
      <c r="J23" s="4">
        <f>H23+I23</f>
        <v/>
      </c>
    </row>
    <row r="24">
      <c r="A24" s="2" t="n">
        <v>23</v>
      </c>
      <c r="B24" s="2" t="inlineStr">
        <is>
          <t>3 ข้อต่อ / Fittings</t>
        </is>
      </c>
      <c r="C24" s="2" t="inlineStr">
        <is>
          <t>ข้องอ 90° long radius Ø2"</t>
        </is>
      </c>
      <c r="D24" s="2" t="inlineStr">
        <is>
          <t>ea</t>
        </is>
      </c>
      <c r="E24" s="2" t="n">
        <v>2</v>
      </c>
      <c r="F24" s="3" t="n"/>
      <c r="G24" s="3" t="n"/>
      <c r="H24" s="4">
        <f>E24*F24</f>
        <v/>
      </c>
      <c r="I24" s="4">
        <f>E24*G24</f>
        <v/>
      </c>
      <c r="J24" s="4">
        <f>H24+I24</f>
        <v/>
      </c>
    </row>
    <row r="25">
      <c r="A25" s="2" t="n">
        <v>24</v>
      </c>
      <c r="B25" s="2" t="inlineStr">
        <is>
          <t>3 ข้อต่อ / Fittings</t>
        </is>
      </c>
      <c r="C25" s="2" t="inlineStr">
        <is>
          <t>สามทาง Ø18"</t>
        </is>
      </c>
      <c r="D25" s="2" t="inlineStr">
        <is>
          <t>ea</t>
        </is>
      </c>
      <c r="E25" s="2" t="n">
        <v>1</v>
      </c>
      <c r="F25" s="3" t="n"/>
      <c r="G25" s="3" t="n"/>
      <c r="H25" s="4">
        <f>E25*F25</f>
        <v/>
      </c>
      <c r="I25" s="4">
        <f>E25*G25</f>
        <v/>
      </c>
      <c r="J25" s="4">
        <f>H25+I25</f>
        <v/>
      </c>
    </row>
    <row r="26">
      <c r="A26" s="2" t="n">
        <v>25</v>
      </c>
      <c r="B26" s="2" t="inlineStr">
        <is>
          <t>3 ข้อต่อ / Fittings</t>
        </is>
      </c>
      <c r="C26" s="2" t="inlineStr">
        <is>
          <t>สามทาง ลด Ø18"x8"</t>
        </is>
      </c>
      <c r="D26" s="2" t="inlineStr">
        <is>
          <t>ea</t>
        </is>
      </c>
      <c r="E26" s="2" t="n">
        <v>16</v>
      </c>
      <c r="F26" s="3" t="n"/>
      <c r="G26" s="3" t="n"/>
      <c r="H26" s="4">
        <f>E26*F26</f>
        <v/>
      </c>
      <c r="I26" s="4">
        <f>E26*G26</f>
        <v/>
      </c>
      <c r="J26" s="4">
        <f>H26+I26</f>
        <v/>
      </c>
    </row>
    <row r="27">
      <c r="A27" s="2" t="n">
        <v>26</v>
      </c>
      <c r="B27" s="2" t="inlineStr">
        <is>
          <t>3 ข้อต่อ / Fittings</t>
        </is>
      </c>
      <c r="C27" s="2" t="inlineStr">
        <is>
          <t>สามทาง Ø16"</t>
        </is>
      </c>
      <c r="D27" s="2" t="inlineStr">
        <is>
          <t>ea</t>
        </is>
      </c>
      <c r="E27" s="2" t="n">
        <v>1</v>
      </c>
      <c r="F27" s="3" t="n"/>
      <c r="G27" s="3" t="n"/>
      <c r="H27" s="4">
        <f>E27*F27</f>
        <v/>
      </c>
      <c r="I27" s="4">
        <f>E27*G27</f>
        <v/>
      </c>
      <c r="J27" s="4">
        <f>H27+I27</f>
        <v/>
      </c>
    </row>
    <row r="28">
      <c r="A28" s="2" t="n">
        <v>27</v>
      </c>
      <c r="B28" s="2" t="inlineStr">
        <is>
          <t>3 ข้อต่อ / Fittings</t>
        </is>
      </c>
      <c r="C28" s="2" t="inlineStr">
        <is>
          <t>สามทาง ลด Ø16"x6"</t>
        </is>
      </c>
      <c r="D28" s="2" t="inlineStr">
        <is>
          <t>ea</t>
        </is>
      </c>
      <c r="E28" s="2" t="n">
        <v>2</v>
      </c>
      <c r="F28" s="3" t="n"/>
      <c r="G28" s="3" t="n"/>
      <c r="H28" s="4">
        <f>E28*F28</f>
        <v/>
      </c>
      <c r="I28" s="4">
        <f>E28*G28</f>
        <v/>
      </c>
      <c r="J28" s="4">
        <f>H28+I28</f>
        <v/>
      </c>
    </row>
    <row r="29">
      <c r="A29" s="2" t="n">
        <v>28</v>
      </c>
      <c r="B29" s="2" t="inlineStr">
        <is>
          <t>3 ข้อต่อ / Fittings</t>
        </is>
      </c>
      <c r="C29" s="2" t="inlineStr">
        <is>
          <t>สามทาง ลด Ø16"x2"</t>
        </is>
      </c>
      <c r="D29" s="2" t="inlineStr">
        <is>
          <t>ea</t>
        </is>
      </c>
      <c r="E29" s="2" t="n">
        <v>1</v>
      </c>
      <c r="F29" s="3" t="n"/>
      <c r="G29" s="3" t="n"/>
      <c r="H29" s="4">
        <f>E29*F29</f>
        <v/>
      </c>
      <c r="I29" s="4">
        <f>E29*G29</f>
        <v/>
      </c>
      <c r="J29" s="4">
        <f>H29+I29</f>
        <v/>
      </c>
    </row>
    <row r="30">
      <c r="A30" s="2" t="n">
        <v>29</v>
      </c>
      <c r="B30" s="2" t="inlineStr">
        <is>
          <t>3 ข้อต่อ / Fittings</t>
        </is>
      </c>
      <c r="C30" s="2" t="inlineStr">
        <is>
          <t>สามทาง ลด Ø16"x8"</t>
        </is>
      </c>
      <c r="D30" s="2" t="inlineStr">
        <is>
          <t>ea</t>
        </is>
      </c>
      <c r="E30" s="2" t="n">
        <v>8</v>
      </c>
      <c r="F30" s="3" t="n"/>
      <c r="G30" s="3" t="n"/>
      <c r="H30" s="4">
        <f>E30*F30</f>
        <v/>
      </c>
      <c r="I30" s="4">
        <f>E30*G30</f>
        <v/>
      </c>
      <c r="J30" s="4">
        <f>H30+I30</f>
        <v/>
      </c>
    </row>
    <row r="31">
      <c r="A31" s="2" t="n">
        <v>30</v>
      </c>
      <c r="B31" s="2" t="inlineStr">
        <is>
          <t>3 ข้อต่อ / Fittings</t>
        </is>
      </c>
      <c r="C31" s="2" t="inlineStr">
        <is>
          <t>สามทาง ลด Ø16"x4"</t>
        </is>
      </c>
      <c r="D31" s="2" t="inlineStr">
        <is>
          <t>ea</t>
        </is>
      </c>
      <c r="E31" s="2" t="n">
        <v>13</v>
      </c>
      <c r="F31" s="3" t="n"/>
      <c r="G31" s="3" t="n"/>
      <c r="H31" s="4">
        <f>E31*F31</f>
        <v/>
      </c>
      <c r="I31" s="4">
        <f>E31*G31</f>
        <v/>
      </c>
      <c r="J31" s="4">
        <f>H31+I31</f>
        <v/>
      </c>
    </row>
    <row r="32">
      <c r="A32" s="2" t="n">
        <v>31</v>
      </c>
      <c r="B32" s="2" t="inlineStr">
        <is>
          <t>4 วาล์ว / Valves</t>
        </is>
      </c>
      <c r="C32" s="2" t="inlineStr">
        <is>
          <t>Automatic air vent 3/4" c/w isolating ball valve Ø16"</t>
        </is>
      </c>
      <c r="D32" s="2" t="inlineStr">
        <is>
          <t>ea</t>
        </is>
      </c>
      <c r="E32" s="2" t="n">
        <v>2</v>
      </c>
      <c r="F32" s="3" t="n"/>
      <c r="G32" s="3" t="n"/>
      <c r="H32" s="4">
        <f>E32*F32</f>
        <v/>
      </c>
      <c r="I32" s="4">
        <f>E32*G32</f>
        <v/>
      </c>
      <c r="J32" s="4">
        <f>H32+I32</f>
        <v/>
      </c>
    </row>
    <row r="33">
      <c r="A33" s="2" t="n">
        <v>32</v>
      </c>
      <c r="B33" s="2" t="inlineStr">
        <is>
          <t>4 วาล์ว / Valves</t>
        </is>
      </c>
      <c r="C33" s="2" t="inlineStr">
        <is>
          <t>Butterfly valve, lug type, PN16 Ø8"</t>
        </is>
      </c>
      <c r="D33" s="2" t="inlineStr">
        <is>
          <t>ea</t>
        </is>
      </c>
      <c r="E33" s="2" t="n">
        <v>12</v>
      </c>
      <c r="F33" s="3" t="n"/>
      <c r="G33" s="3" t="n"/>
      <c r="H33" s="4">
        <f>E33*F33</f>
        <v/>
      </c>
      <c r="I33" s="4">
        <f>E33*G33</f>
        <v/>
      </c>
      <c r="J33" s="4">
        <f>H33+I33</f>
        <v/>
      </c>
    </row>
    <row r="34">
      <c r="A34" s="2" t="n">
        <v>33</v>
      </c>
      <c r="B34" s="2" t="inlineStr">
        <is>
          <t>4 วาล์ว / Valves</t>
        </is>
      </c>
      <c r="C34" s="2" t="inlineStr">
        <is>
          <t>Butterfly valve, lug type, PN16 Ø6"</t>
        </is>
      </c>
      <c r="D34" s="2" t="inlineStr">
        <is>
          <t>ea</t>
        </is>
      </c>
      <c r="E34" s="2" t="n">
        <v>2</v>
      </c>
      <c r="F34" s="3" t="n"/>
      <c r="G34" s="3" t="n"/>
      <c r="H34" s="4">
        <f>E34*F34</f>
        <v/>
      </c>
      <c r="I34" s="4">
        <f>E34*G34</f>
        <v/>
      </c>
      <c r="J34" s="4">
        <f>H34+I34</f>
        <v/>
      </c>
    </row>
    <row r="35">
      <c r="A35" s="2" t="n">
        <v>34</v>
      </c>
      <c r="B35" s="2" t="inlineStr">
        <is>
          <t>4 วาล์ว / Valves</t>
        </is>
      </c>
      <c r="C35" s="2" t="inlineStr">
        <is>
          <t>Butterfly valve, lug type, PN16 Ø4"</t>
        </is>
      </c>
      <c r="D35" s="2" t="inlineStr">
        <is>
          <t>ea</t>
        </is>
      </c>
      <c r="E35" s="2" t="n">
        <v>7</v>
      </c>
      <c r="F35" s="3" t="n"/>
      <c r="G35" s="3" t="n"/>
      <c r="H35" s="4">
        <f>E35*F35</f>
        <v/>
      </c>
      <c r="I35" s="4">
        <f>E35*G35</f>
        <v/>
      </c>
      <c r="J35" s="4">
        <f>H35+I35</f>
        <v/>
      </c>
    </row>
    <row r="36">
      <c r="A36" s="2" t="n">
        <v>35</v>
      </c>
      <c r="B36" s="2" t="inlineStr">
        <is>
          <t>4 วาล์ว / Valves</t>
        </is>
      </c>
      <c r="C36" s="2" t="inlineStr">
        <is>
          <t>Butterfly valve, lug type, PN16 Ø2"</t>
        </is>
      </c>
      <c r="D36" s="2" t="inlineStr">
        <is>
          <t>ea</t>
        </is>
      </c>
      <c r="E36" s="2" t="n">
        <v>1</v>
      </c>
      <c r="F36" s="3" t="n"/>
      <c r="G36" s="3" t="n"/>
      <c r="H36" s="4">
        <f>E36*F36</f>
        <v/>
      </c>
      <c r="I36" s="4">
        <f>E36*G36</f>
        <v/>
      </c>
      <c r="J36" s="4">
        <f>H36+I36</f>
        <v/>
      </c>
    </row>
    <row r="37">
      <c r="A37" s="2" t="n">
        <v>36</v>
      </c>
      <c r="B37" s="2" t="inlineStr">
        <is>
          <t>3 ข้อต่อ / Fittings</t>
        </is>
      </c>
      <c r="C37" s="2" t="inlineStr">
        <is>
          <t>End cap / blind flange (header stub) Ø18"</t>
        </is>
      </c>
      <c r="D37" s="2" t="inlineStr">
        <is>
          <t>set</t>
        </is>
      </c>
      <c r="E37" s="2" t="n">
        <v>7</v>
      </c>
      <c r="F37" s="3" t="n"/>
      <c r="G37" s="3" t="n"/>
      <c r="H37" s="4">
        <f>E37*F37</f>
        <v/>
      </c>
      <c r="I37" s="4">
        <f>E37*G37</f>
        <v/>
      </c>
      <c r="J37" s="4">
        <f>H37+I37</f>
        <v/>
      </c>
    </row>
    <row r="38">
      <c r="A38" s="2" t="n">
        <v>37</v>
      </c>
      <c r="B38" s="2" t="inlineStr">
        <is>
          <t>3 ข้อต่อ / Fittings</t>
        </is>
      </c>
      <c r="C38" s="2" t="inlineStr">
        <is>
          <t>End cap / blind flange (header stub) Ø16"</t>
        </is>
      </c>
      <c r="D38" s="2" t="inlineStr">
        <is>
          <t>set</t>
        </is>
      </c>
      <c r="E38" s="2" t="n">
        <v>7</v>
      </c>
      <c r="F38" s="3" t="n"/>
      <c r="G38" s="3" t="n"/>
      <c r="H38" s="4">
        <f>E38*F38</f>
        <v/>
      </c>
      <c r="I38" s="4">
        <f>E38*G38</f>
        <v/>
      </c>
      <c r="J38" s="4">
        <f>H38+I38</f>
        <v/>
      </c>
    </row>
    <row r="39">
      <c r="A39" s="2" t="n">
        <v>38</v>
      </c>
      <c r="B39" s="2" t="inlineStr">
        <is>
          <t>4 วาล์ว / Valves</t>
        </is>
      </c>
      <c r="C39" s="2" t="inlineStr">
        <is>
          <t>Check valve, silent / dual plate Ø8"</t>
        </is>
      </c>
      <c r="D39" s="2" t="inlineStr">
        <is>
          <t>ea</t>
        </is>
      </c>
      <c r="E39" s="2" t="n">
        <v>4</v>
      </c>
      <c r="F39" s="3" t="n"/>
      <c r="G39" s="3" t="n"/>
      <c r="H39" s="4">
        <f>E39*F39</f>
        <v/>
      </c>
      <c r="I39" s="4">
        <f>E39*G39</f>
        <v/>
      </c>
      <c r="J39" s="4">
        <f>H39+I39</f>
        <v/>
      </c>
    </row>
    <row r="40">
      <c r="A40" s="2" t="n">
        <v>39</v>
      </c>
      <c r="B40" s="2" t="inlineStr">
        <is>
          <t>4 วาล์ว / Valves</t>
        </is>
      </c>
      <c r="C40" s="2" t="inlineStr">
        <is>
          <t>Drain valve 1-1/2" c/w hose cap Ø1.5"</t>
        </is>
      </c>
      <c r="D40" s="2" t="inlineStr">
        <is>
          <t>ea</t>
        </is>
      </c>
      <c r="E40" s="2" t="n">
        <v>2</v>
      </c>
      <c r="F40" s="3" t="n"/>
      <c r="G40" s="3" t="n"/>
      <c r="H40" s="4">
        <f>E40*F40</f>
        <v/>
      </c>
      <c r="I40" s="4">
        <f>E40*G40</f>
        <v/>
      </c>
      <c r="J40" s="4">
        <f>H40+I40</f>
        <v/>
      </c>
    </row>
    <row r="41">
      <c r="A41" s="2" t="n">
        <v>40</v>
      </c>
      <c r="B41" s="2" t="inlineStr">
        <is>
          <t>4 วาล์ว / Valves</t>
        </is>
      </c>
      <c r="C41" s="2" t="inlineStr">
        <is>
          <t>Flexible connector, EPDM double sphere Ø8"</t>
        </is>
      </c>
      <c r="D41" s="2" t="inlineStr">
        <is>
          <t>ea</t>
        </is>
      </c>
      <c r="E41" s="2" t="n">
        <v>12</v>
      </c>
      <c r="F41" s="3" t="n"/>
      <c r="G41" s="3" t="n"/>
      <c r="H41" s="4">
        <f>E41*F41</f>
        <v/>
      </c>
      <c r="I41" s="4">
        <f>E41*G41</f>
        <v/>
      </c>
      <c r="J41" s="4">
        <f>H41+I41</f>
        <v/>
      </c>
    </row>
    <row r="42">
      <c r="A42" s="2" t="n">
        <v>41</v>
      </c>
      <c r="B42" s="2" t="inlineStr">
        <is>
          <t>4 วาล์ว / Valves</t>
        </is>
      </c>
      <c r="C42" s="2" t="inlineStr">
        <is>
          <t>Flexible connector, EPDM double sphere Ø6"</t>
        </is>
      </c>
      <c r="D42" s="2" t="inlineStr">
        <is>
          <t>ea</t>
        </is>
      </c>
      <c r="E42" s="2" t="n">
        <v>4</v>
      </c>
      <c r="F42" s="3" t="n"/>
      <c r="G42" s="3" t="n"/>
      <c r="H42" s="4">
        <f>E42*F42</f>
        <v/>
      </c>
      <c r="I42" s="4">
        <f>E42*G42</f>
        <v/>
      </c>
      <c r="J42" s="4">
        <f>H42+I42</f>
        <v/>
      </c>
    </row>
    <row r="43">
      <c r="A43" s="2" t="n">
        <v>42</v>
      </c>
      <c r="B43" s="2" t="inlineStr">
        <is>
          <t>5 เครื่องมือวัด / Instruments</t>
        </is>
      </c>
      <c r="C43" s="2" t="inlineStr">
        <is>
          <t>Electromagnetic flow meter Ø18"</t>
        </is>
      </c>
      <c r="D43" s="2" t="inlineStr">
        <is>
          <t>ea</t>
        </is>
      </c>
      <c r="E43" s="2" t="n">
        <v>1</v>
      </c>
      <c r="F43" s="3" t="n"/>
      <c r="G43" s="3" t="n"/>
      <c r="H43" s="4">
        <f>E43*F43</f>
        <v/>
      </c>
      <c r="I43" s="4">
        <f>E43*G43</f>
        <v/>
      </c>
      <c r="J43" s="4">
        <f>H43+I43</f>
        <v/>
      </c>
    </row>
    <row r="44">
      <c r="A44" s="2" t="n">
        <v>43</v>
      </c>
      <c r="B44" s="2" t="inlineStr">
        <is>
          <t>5 เครื่องมือวัด / Instruments</t>
        </is>
      </c>
      <c r="C44" s="2" t="inlineStr">
        <is>
          <t>Electromagnetic flow meter Ø16"</t>
        </is>
      </c>
      <c r="D44" s="2" t="inlineStr">
        <is>
          <t>ea</t>
        </is>
      </c>
      <c r="E44" s="2" t="n">
        <v>1</v>
      </c>
      <c r="F44" s="3" t="n"/>
      <c r="G44" s="3" t="n"/>
      <c r="H44" s="4">
        <f>E44*F44</f>
        <v/>
      </c>
      <c r="I44" s="4">
        <f>E44*G44</f>
        <v/>
      </c>
      <c r="J44" s="4">
        <f>H44+I44</f>
        <v/>
      </c>
    </row>
    <row r="45">
      <c r="A45" s="2" t="n">
        <v>44</v>
      </c>
      <c r="B45" s="2" t="inlineStr">
        <is>
          <t>5 เครื่องมือวัด / Instruments</t>
        </is>
      </c>
      <c r="C45" s="2" t="inlineStr">
        <is>
          <t>Paddle flow switch Ø8"</t>
        </is>
      </c>
      <c r="D45" s="2" t="inlineStr">
        <is>
          <t>ea</t>
        </is>
      </c>
      <c r="E45" s="2" t="n">
        <v>4</v>
      </c>
      <c r="F45" s="3" t="n"/>
      <c r="G45" s="3" t="n"/>
      <c r="H45" s="4">
        <f>E45*F45</f>
        <v/>
      </c>
      <c r="I45" s="4">
        <f>E45*G45</f>
        <v/>
      </c>
      <c r="J45" s="4">
        <f>H45+I45</f>
        <v/>
      </c>
    </row>
    <row r="46">
      <c r="A46" s="2" t="n">
        <v>45</v>
      </c>
      <c r="B46" s="2" t="inlineStr">
        <is>
          <t>4 วาล์ว / Valves</t>
        </is>
      </c>
      <c r="C46" s="2" t="inlineStr">
        <is>
          <t>Motorized butterfly valve (on/off, 24 Vac) Ø8"</t>
        </is>
      </c>
      <c r="D46" s="2" t="inlineStr">
        <is>
          <t>ea</t>
        </is>
      </c>
      <c r="E46" s="2" t="n">
        <v>20</v>
      </c>
      <c r="F46" s="3" t="n"/>
      <c r="G46" s="3" t="n"/>
      <c r="H46" s="4">
        <f>E46*F46</f>
        <v/>
      </c>
      <c r="I46" s="4">
        <f>E46*G46</f>
        <v/>
      </c>
      <c r="J46" s="4">
        <f>H46+I46</f>
        <v/>
      </c>
    </row>
    <row r="47">
      <c r="A47" s="2" t="n">
        <v>46</v>
      </c>
      <c r="B47" s="2" t="inlineStr">
        <is>
          <t>4 วาล์ว / Valves</t>
        </is>
      </c>
      <c r="C47" s="2" t="inlineStr">
        <is>
          <t>Motorized control valve (modulating 0-10 V, position feedback) Ø8"</t>
        </is>
      </c>
      <c r="D47" s="2" t="inlineStr">
        <is>
          <t>ea</t>
        </is>
      </c>
      <c r="E47" s="2" t="n">
        <v>4</v>
      </c>
      <c r="F47" s="3" t="n"/>
      <c r="G47" s="3" t="n"/>
      <c r="H47" s="4">
        <f>E47*F47</f>
        <v/>
      </c>
      <c r="I47" s="4">
        <f>E47*G47</f>
        <v/>
      </c>
      <c r="J47" s="4">
        <f>H47+I47</f>
        <v/>
      </c>
    </row>
    <row r="48">
      <c r="A48" s="2" t="n">
        <v>47</v>
      </c>
      <c r="B48" s="2" t="inlineStr">
        <is>
          <t>4 วาล์ว / Valves</t>
        </is>
      </c>
      <c r="C48" s="2" t="inlineStr">
        <is>
          <t>Motorized control valve (modulating 0-10 V, position feedback) Ø6"</t>
        </is>
      </c>
      <c r="D48" s="2" t="inlineStr">
        <is>
          <t>ea</t>
        </is>
      </c>
      <c r="E48" s="2" t="n">
        <v>1</v>
      </c>
      <c r="F48" s="3" t="n"/>
      <c r="G48" s="3" t="n"/>
      <c r="H48" s="4">
        <f>E48*F48</f>
        <v/>
      </c>
      <c r="I48" s="4">
        <f>E48*G48</f>
        <v/>
      </c>
      <c r="J48" s="4">
        <f>H48+I48</f>
        <v/>
      </c>
    </row>
    <row r="49">
      <c r="A49" s="2" t="n">
        <v>48</v>
      </c>
      <c r="B49" s="2" t="inlineStr">
        <is>
          <t>4 วาล์ว / Valves</t>
        </is>
      </c>
      <c r="C49" s="2" t="inlineStr">
        <is>
          <t>Motorized control valve (modulating 0-10 V, position feedback) Ø4"</t>
        </is>
      </c>
      <c r="D49" s="2" t="inlineStr">
        <is>
          <t>ea</t>
        </is>
      </c>
      <c r="E49" s="2" t="n">
        <v>7</v>
      </c>
      <c r="F49" s="3" t="n"/>
      <c r="G49" s="3" t="n"/>
      <c r="H49" s="4">
        <f>E49*F49</f>
        <v/>
      </c>
      <c r="I49" s="4">
        <f>E49*G49</f>
        <v/>
      </c>
      <c r="J49" s="4">
        <f>H49+I49</f>
        <v/>
      </c>
    </row>
    <row r="50">
      <c r="A50" s="2" t="n">
        <v>49</v>
      </c>
      <c r="B50" s="2" t="inlineStr">
        <is>
          <t>5 เครื่องมือวัด / Instruments</t>
        </is>
      </c>
      <c r="C50" s="2" t="inlineStr">
        <is>
          <t>Pressure gauge 0-10 bar c/w cock Ø16"</t>
        </is>
      </c>
      <c r="D50" s="2" t="inlineStr">
        <is>
          <t>ea</t>
        </is>
      </c>
      <c r="E50" s="2" t="n">
        <v>1</v>
      </c>
      <c r="F50" s="3" t="n"/>
      <c r="G50" s="3" t="n"/>
      <c r="H50" s="4">
        <f>E50*F50</f>
        <v/>
      </c>
      <c r="I50" s="4">
        <f>E50*G50</f>
        <v/>
      </c>
      <c r="J50" s="4">
        <f>H50+I50</f>
        <v/>
      </c>
    </row>
    <row r="51">
      <c r="A51" s="2" t="n">
        <v>50</v>
      </c>
      <c r="B51" s="2" t="inlineStr">
        <is>
          <t>5 เครื่องมือวัด / Instruments</t>
        </is>
      </c>
      <c r="C51" s="2" t="inlineStr">
        <is>
          <t>Differential pressure transmitter 0-4 bar Ø16"</t>
        </is>
      </c>
      <c r="D51" s="2" t="inlineStr">
        <is>
          <t>ea</t>
        </is>
      </c>
      <c r="E51" s="2" t="n">
        <v>1</v>
      </c>
      <c r="F51" s="3" t="n"/>
      <c r="G51" s="3" t="n"/>
      <c r="H51" s="4">
        <f>E51*F51</f>
        <v/>
      </c>
      <c r="I51" s="4">
        <f>E51*G51</f>
        <v/>
      </c>
      <c r="J51" s="4">
        <f>H51+I51</f>
        <v/>
      </c>
    </row>
    <row r="52">
      <c r="A52" s="2" t="n">
        <v>51</v>
      </c>
      <c r="B52" s="2" t="inlineStr">
        <is>
          <t>4 วาล์ว / Valves</t>
        </is>
      </c>
      <c r="C52" s="2" t="inlineStr">
        <is>
          <t>Y-strainer, 20 mesh Ø8"</t>
        </is>
      </c>
      <c r="D52" s="2" t="inlineStr">
        <is>
          <t>ea</t>
        </is>
      </c>
      <c r="E52" s="2" t="n">
        <v>4</v>
      </c>
      <c r="F52" s="3" t="n"/>
      <c r="G52" s="3" t="n"/>
      <c r="H52" s="4">
        <f>E52*F52</f>
        <v/>
      </c>
      <c r="I52" s="4">
        <f>E52*G52</f>
        <v/>
      </c>
      <c r="J52" s="4">
        <f>H52+I52</f>
        <v/>
      </c>
    </row>
    <row r="53">
      <c r="A53" s="2" t="n">
        <v>52</v>
      </c>
      <c r="B53" s="2" t="inlineStr">
        <is>
          <t>5 เครื่องมือวัด / Instruments</t>
        </is>
      </c>
      <c r="C53" s="2" t="inlineStr">
        <is>
          <t>Temperature sensor 10k thermistor in well + thermometer Ø18"</t>
        </is>
      </c>
      <c r="D53" s="2" t="inlineStr">
        <is>
          <t>ea</t>
        </is>
      </c>
      <c r="E53" s="2" t="n">
        <v>2</v>
      </c>
      <c r="F53" s="3" t="n"/>
      <c r="G53" s="3" t="n"/>
      <c r="H53" s="4">
        <f>E53*F53</f>
        <v/>
      </c>
      <c r="I53" s="4">
        <f>E53*G53</f>
        <v/>
      </c>
      <c r="J53" s="4">
        <f>H53+I53</f>
        <v/>
      </c>
    </row>
    <row r="54">
      <c r="A54" s="2" t="n">
        <v>53</v>
      </c>
      <c r="B54" s="2" t="inlineStr">
        <is>
          <t>5 เครื่องมือวัด / Instruments</t>
        </is>
      </c>
      <c r="C54" s="2" t="inlineStr">
        <is>
          <t>Temperature sensor 10k thermistor in well + thermometer Ø16"</t>
        </is>
      </c>
      <c r="D54" s="2" t="inlineStr">
        <is>
          <t>ea</t>
        </is>
      </c>
      <c r="E54" s="2" t="n">
        <v>2</v>
      </c>
      <c r="F54" s="3" t="n"/>
      <c r="G54" s="3" t="n"/>
      <c r="H54" s="4">
        <f>E54*F54</f>
        <v/>
      </c>
      <c r="I54" s="4">
        <f>E54*G54</f>
        <v/>
      </c>
      <c r="J54" s="4">
        <f>H54+I54</f>
        <v/>
      </c>
    </row>
    <row r="55">
      <c r="A55" s="2" t="n">
        <v>54</v>
      </c>
      <c r="B55" s="2" t="inlineStr">
        <is>
          <t>5 เครื่องมือวัด / Instruments</t>
        </is>
      </c>
      <c r="C55" s="2" t="inlineStr">
        <is>
          <t>Temperature sensor 10k thermistor in well + thermometer Ø8"</t>
        </is>
      </c>
      <c r="D55" s="2" t="inlineStr">
        <is>
          <t>ea</t>
        </is>
      </c>
      <c r="E55" s="2" t="n">
        <v>2</v>
      </c>
      <c r="F55" s="3" t="n"/>
      <c r="G55" s="3" t="n"/>
      <c r="H55" s="4">
        <f>E55*F55</f>
        <v/>
      </c>
      <c r="I55" s="4">
        <f>E55*G55</f>
        <v/>
      </c>
      <c r="J55" s="4">
        <f>H55+I55</f>
        <v/>
      </c>
    </row>
    <row r="56">
      <c r="A56" s="2" t="n">
        <v>55</v>
      </c>
      <c r="B56" s="2" t="inlineStr">
        <is>
          <t>3 ข้อต่อ / Fittings</t>
        </is>
      </c>
      <c r="C56" s="2" t="inlineStr">
        <is>
          <t>หน้าแปลนเชื่อม PN16 Ø18" + ปะเก็น + สลักเกลียว</t>
        </is>
      </c>
      <c r="D56" s="2" t="inlineStr">
        <is>
          <t>pair</t>
        </is>
      </c>
      <c r="E56" s="2" t="n">
        <v>2</v>
      </c>
      <c r="F56" s="3" t="n"/>
      <c r="G56" s="3" t="n"/>
      <c r="H56" s="4">
        <f>E56*F56</f>
        <v/>
      </c>
      <c r="I56" s="4">
        <f>E56*G56</f>
        <v/>
      </c>
      <c r="J56" s="4">
        <f>H56+I56</f>
        <v/>
      </c>
    </row>
    <row r="57">
      <c r="A57" s="2" t="n">
        <v>56</v>
      </c>
      <c r="B57" s="2" t="inlineStr">
        <is>
          <t>3 ข้อต่อ / Fittings</t>
        </is>
      </c>
      <c r="C57" s="2" t="inlineStr">
        <is>
          <t>หน้าแปลนเชื่อม PN16 Ø16" + ปะเก็น + สลักเกลียว</t>
        </is>
      </c>
      <c r="D57" s="2" t="inlineStr">
        <is>
          <t>pair</t>
        </is>
      </c>
      <c r="E57" s="2" t="n">
        <v>2</v>
      </c>
      <c r="F57" s="3" t="n"/>
      <c r="G57" s="3" t="n"/>
      <c r="H57" s="4">
        <f>E57*F57</f>
        <v/>
      </c>
      <c r="I57" s="4">
        <f>E57*G57</f>
        <v/>
      </c>
      <c r="J57" s="4">
        <f>H57+I57</f>
        <v/>
      </c>
    </row>
    <row r="58">
      <c r="A58" s="2" t="n">
        <v>57</v>
      </c>
      <c r="B58" s="2" t="inlineStr">
        <is>
          <t>3 ข้อต่อ / Fittings</t>
        </is>
      </c>
      <c r="C58" s="2" t="inlineStr">
        <is>
          <t>หน้าแปลนเชื่อม PN16 Ø8" + ปะเก็น + สลักเกลียว</t>
        </is>
      </c>
      <c r="D58" s="2" t="inlineStr">
        <is>
          <t>pair</t>
        </is>
      </c>
      <c r="E58" s="2" t="n">
        <v>136</v>
      </c>
      <c r="F58" s="3" t="n"/>
      <c r="G58" s="3" t="n"/>
      <c r="H58" s="4">
        <f>E58*F58</f>
        <v/>
      </c>
      <c r="I58" s="4">
        <f>E58*G58</f>
        <v/>
      </c>
      <c r="J58" s="4">
        <f>H58+I58</f>
        <v/>
      </c>
    </row>
    <row r="59">
      <c r="A59" s="2" t="n">
        <v>58</v>
      </c>
      <c r="B59" s="2" t="inlineStr">
        <is>
          <t>3 ข้อต่อ / Fittings</t>
        </is>
      </c>
      <c r="C59" s="2" t="inlineStr">
        <is>
          <t>หน้าแปลนเชื่อม PN16 Ø6" + ปะเก็น + สลักเกลียว</t>
        </is>
      </c>
      <c r="D59" s="2" t="inlineStr">
        <is>
          <t>pair</t>
        </is>
      </c>
      <c r="E59" s="2" t="n">
        <v>14</v>
      </c>
      <c r="F59" s="3" t="n"/>
      <c r="G59" s="3" t="n"/>
      <c r="H59" s="4">
        <f>E59*F59</f>
        <v/>
      </c>
      <c r="I59" s="4">
        <f>E59*G59</f>
        <v/>
      </c>
      <c r="J59" s="4">
        <f>H59+I59</f>
        <v/>
      </c>
    </row>
    <row r="60">
      <c r="A60" s="2" t="n">
        <v>59</v>
      </c>
      <c r="B60" s="2" t="inlineStr">
        <is>
          <t>3 ข้อต่อ / Fittings</t>
        </is>
      </c>
      <c r="C60" s="2" t="inlineStr">
        <is>
          <t>หน้าแปลนเชื่อม PN16 Ø4" + ปะเก็น + สลักเกลียว</t>
        </is>
      </c>
      <c r="D60" s="2" t="inlineStr">
        <is>
          <t>pair</t>
        </is>
      </c>
      <c r="E60" s="2" t="n">
        <v>42</v>
      </c>
      <c r="F60" s="3" t="n"/>
      <c r="G60" s="3" t="n"/>
      <c r="H60" s="4">
        <f>E60*F60</f>
        <v/>
      </c>
      <c r="I60" s="4">
        <f>E60*G60</f>
        <v/>
      </c>
      <c r="J60" s="4">
        <f>H60+I60</f>
        <v/>
      </c>
    </row>
    <row r="61">
      <c r="A61" s="2" t="n">
        <v>60</v>
      </c>
      <c r="B61" s="2" t="inlineStr">
        <is>
          <t>3 ข้อต่อ / Fittings</t>
        </is>
      </c>
      <c r="C61" s="2" t="inlineStr">
        <is>
          <t>หน้าแปลนเชื่อม PN16 Ø2" + ปะเก็น + สลักเกลียว</t>
        </is>
      </c>
      <c r="D61" s="2" t="inlineStr">
        <is>
          <t>pair</t>
        </is>
      </c>
      <c r="E61" s="2" t="n">
        <v>3</v>
      </c>
      <c r="F61" s="3" t="n"/>
      <c r="G61" s="3" t="n"/>
      <c r="H61" s="4">
        <f>E61*F61</f>
        <v/>
      </c>
      <c r="I61" s="4">
        <f>E61*G61</f>
        <v/>
      </c>
      <c r="J61" s="4">
        <f>H61+I61</f>
        <v/>
      </c>
    </row>
    <row r="62">
      <c r="A62" s="2" t="n">
        <v>61</v>
      </c>
      <c r="B62" s="2" t="inlineStr">
        <is>
          <t>6 ที่รองรับท่อ / Supports</t>
        </is>
      </c>
      <c r="C62" s="2" t="inlineStr">
        <is>
          <t>Floor pipe stanchion + base plate สำหรับท่อ Ø2"</t>
        </is>
      </c>
      <c r="D62" s="2" t="inlineStr">
        <is>
          <t>set</t>
        </is>
      </c>
      <c r="E62" s="2" t="n">
        <v>0</v>
      </c>
      <c r="F62" s="3" t="n"/>
      <c r="G62" s="3" t="n"/>
      <c r="H62" s="4">
        <f>E62*F62</f>
        <v/>
      </c>
      <c r="I62" s="4">
        <f>E62*G62</f>
        <v/>
      </c>
      <c r="J62" s="4">
        <f>H62+I62</f>
        <v/>
      </c>
    </row>
    <row r="63">
      <c r="A63" s="2" t="n">
        <v>62</v>
      </c>
      <c r="B63" s="2" t="inlineStr">
        <is>
          <t>6 ที่รองรับท่อ / Supports</t>
        </is>
      </c>
      <c r="C63" s="2" t="inlineStr">
        <is>
          <t>Floor pipe stanchion + base plate สำหรับท่อ Ø6"</t>
        </is>
      </c>
      <c r="D63" s="2" t="inlineStr">
        <is>
          <t>set</t>
        </is>
      </c>
      <c r="E63" s="2" t="n">
        <v>1</v>
      </c>
      <c r="F63" s="3" t="n"/>
      <c r="G63" s="3" t="n"/>
      <c r="H63" s="4">
        <f>E63*F63</f>
        <v/>
      </c>
      <c r="I63" s="4">
        <f>E63*G63</f>
        <v/>
      </c>
      <c r="J63" s="4">
        <f>H63+I63</f>
        <v/>
      </c>
    </row>
    <row r="64">
      <c r="A64" s="2" t="n">
        <v>63</v>
      </c>
      <c r="B64" s="2" t="inlineStr">
        <is>
          <t>6 ที่รองรับท่อ / Supports</t>
        </is>
      </c>
      <c r="C64" s="2" t="inlineStr">
        <is>
          <t>Floor pipe stanchion + base plate สำหรับท่อ Ø8"</t>
        </is>
      </c>
      <c r="D64" s="2" t="inlineStr">
        <is>
          <t>set</t>
        </is>
      </c>
      <c r="E64" s="2" t="n">
        <v>6</v>
      </c>
      <c r="F64" s="3" t="n"/>
      <c r="G64" s="3" t="n"/>
      <c r="H64" s="4">
        <f>E64*F64</f>
        <v/>
      </c>
      <c r="I64" s="4">
        <f>E64*G64</f>
        <v/>
      </c>
      <c r="J64" s="4">
        <f>H64+I64</f>
        <v/>
      </c>
    </row>
    <row r="65">
      <c r="A65" s="2" t="n">
        <v>64</v>
      </c>
      <c r="B65" s="2" t="inlineStr">
        <is>
          <t>6 ที่รองรับท่อ / Supports</t>
        </is>
      </c>
      <c r="C65" s="2" t="inlineStr">
        <is>
          <t>Floor pipe stanchion + base plate สำหรับท่อ Ø16"</t>
        </is>
      </c>
      <c r="D65" s="2" t="inlineStr">
        <is>
          <t>set</t>
        </is>
      </c>
      <c r="E65" s="2" t="n">
        <v>5</v>
      </c>
      <c r="F65" s="3" t="n"/>
      <c r="G65" s="3" t="n"/>
      <c r="H65" s="4">
        <f>E65*F65</f>
        <v/>
      </c>
      <c r="I65" s="4">
        <f>E65*G65</f>
        <v/>
      </c>
      <c r="J65" s="4">
        <f>H65+I65</f>
        <v/>
      </c>
    </row>
    <row r="66">
      <c r="A66" s="2" t="n">
        <v>65</v>
      </c>
      <c r="B66" s="2" t="inlineStr">
        <is>
          <t>6 ที่รองรับท่อ / Supports</t>
        </is>
      </c>
      <c r="C66" s="2" t="inlineStr">
        <is>
          <t>Floor pipe stanchion + base plate สำหรับท่อ Ø18"</t>
        </is>
      </c>
      <c r="D66" s="2" t="inlineStr">
        <is>
          <t>set</t>
        </is>
      </c>
      <c r="E66" s="2" t="n">
        <v>6</v>
      </c>
      <c r="F66" s="3" t="n"/>
      <c r="G66" s="3" t="n"/>
      <c r="H66" s="4">
        <f>E66*F66</f>
        <v/>
      </c>
      <c r="I66" s="4">
        <f>E66*G66</f>
        <v/>
      </c>
      <c r="J66" s="4">
        <f>H66+I66</f>
        <v/>
      </c>
    </row>
    <row r="67">
      <c r="A67" s="2" t="n">
        <v>66</v>
      </c>
      <c r="B67" s="2" t="inlineStr">
        <is>
          <t>6 ที่รองรับท่อ / Supports</t>
        </is>
      </c>
      <c r="C67" s="2" t="inlineStr">
        <is>
          <t>Pipe hanger (rod Ø12 + clevis) สำหรับท่อ Ø4"</t>
        </is>
      </c>
      <c r="D67" s="2" t="inlineStr">
        <is>
          <t>set</t>
        </is>
      </c>
      <c r="E67" s="2" t="n">
        <v>28</v>
      </c>
      <c r="F67" s="3" t="n"/>
      <c r="G67" s="3" t="n"/>
      <c r="H67" s="4">
        <f>E67*F67</f>
        <v/>
      </c>
      <c r="I67" s="4">
        <f>E67*G67</f>
        <v/>
      </c>
      <c r="J67" s="4">
        <f>H67+I67</f>
        <v/>
      </c>
    </row>
    <row r="68">
      <c r="A68" s="2" t="n">
        <v>67</v>
      </c>
      <c r="B68" s="2" t="inlineStr">
        <is>
          <t>6 ที่รองรับท่อ / Supports</t>
        </is>
      </c>
      <c r="C68" s="2" t="inlineStr">
        <is>
          <t>Pipe hanger (rod Ø12 + clevis) สำหรับท่อ Ø16"</t>
        </is>
      </c>
      <c r="D68" s="2" t="inlineStr">
        <is>
          <t>set</t>
        </is>
      </c>
      <c r="E68" s="2" t="n">
        <v>27</v>
      </c>
      <c r="F68" s="3" t="n"/>
      <c r="G68" s="3" t="n"/>
      <c r="H68" s="4">
        <f>E68*F68</f>
        <v/>
      </c>
      <c r="I68" s="4">
        <f>E68*G68</f>
        <v/>
      </c>
      <c r="J68" s="4">
        <f>H68+I68</f>
        <v/>
      </c>
    </row>
    <row r="69">
      <c r="A69" s="2" t="n">
        <v>68</v>
      </c>
      <c r="B69" s="2" t="inlineStr">
        <is>
          <t>6 ที่รองรับท่อ / Supports</t>
        </is>
      </c>
      <c r="C69" s="2" t="inlineStr">
        <is>
          <t>Pipe hanger (rod Ø12 + clevis) สำหรับท่อ Ø18"</t>
        </is>
      </c>
      <c r="D69" s="2" t="inlineStr">
        <is>
          <t>set</t>
        </is>
      </c>
      <c r="E69" s="2" t="n">
        <v>30</v>
      </c>
      <c r="F69" s="3" t="n"/>
      <c r="G69" s="3" t="n"/>
      <c r="H69" s="4">
        <f>E69*F69</f>
        <v/>
      </c>
      <c r="I69" s="4">
        <f>E69*G69</f>
        <v/>
      </c>
      <c r="J69" s="4">
        <f>H69+I69</f>
        <v/>
      </c>
    </row>
    <row r="70">
      <c r="A70" s="2" t="n">
        <v>69</v>
      </c>
      <c r="B70" s="2" t="inlineStr">
        <is>
          <t>6 ที่รองรับท่อ / Supports</t>
        </is>
      </c>
      <c r="C70" s="2" t="inlineStr">
        <is>
          <t>Riser clamp สำหรับท่อ Ø2"</t>
        </is>
      </c>
      <c r="D70" s="2" t="inlineStr">
        <is>
          <t>set</t>
        </is>
      </c>
      <c r="E70" s="2" t="n">
        <v>0</v>
      </c>
      <c r="F70" s="3" t="n"/>
      <c r="G70" s="3" t="n"/>
      <c r="H70" s="4">
        <f>E70*F70</f>
        <v/>
      </c>
      <c r="I70" s="4">
        <f>E70*G70</f>
        <v/>
      </c>
      <c r="J70" s="4">
        <f>H70+I70</f>
        <v/>
      </c>
    </row>
    <row r="71">
      <c r="A71" s="2" t="n">
        <v>70</v>
      </c>
      <c r="B71" s="2" t="inlineStr">
        <is>
          <t>6 ที่รองรับท่อ / Supports</t>
        </is>
      </c>
      <c r="C71" s="2" t="inlineStr">
        <is>
          <t>Riser clamp สำหรับท่อ Ø4"</t>
        </is>
      </c>
      <c r="D71" s="2" t="inlineStr">
        <is>
          <t>set</t>
        </is>
      </c>
      <c r="E71" s="2" t="n">
        <v>0</v>
      </c>
      <c r="F71" s="3" t="n"/>
      <c r="G71" s="3" t="n"/>
      <c r="H71" s="4">
        <f>E71*F71</f>
        <v/>
      </c>
      <c r="I71" s="4">
        <f>E71*G71</f>
        <v/>
      </c>
      <c r="J71" s="4">
        <f>H71+I71</f>
        <v/>
      </c>
    </row>
    <row r="72">
      <c r="A72" s="2" t="n">
        <v>71</v>
      </c>
      <c r="B72" s="2" t="inlineStr">
        <is>
          <t>6 ที่รองรับท่อ / Supports</t>
        </is>
      </c>
      <c r="C72" s="2" t="inlineStr">
        <is>
          <t>Riser clamp สำหรับท่อ Ø6"</t>
        </is>
      </c>
      <c r="D72" s="2" t="inlineStr">
        <is>
          <t>set</t>
        </is>
      </c>
      <c r="E72" s="2" t="n">
        <v>0</v>
      </c>
      <c r="F72" s="3" t="n"/>
      <c r="G72" s="3" t="n"/>
      <c r="H72" s="4">
        <f>E72*F72</f>
        <v/>
      </c>
      <c r="I72" s="4">
        <f>E72*G72</f>
        <v/>
      </c>
      <c r="J72" s="4">
        <f>H72+I72</f>
        <v/>
      </c>
    </row>
    <row r="73">
      <c r="A73" s="2" t="n">
        <v>72</v>
      </c>
      <c r="B73" s="2" t="inlineStr">
        <is>
          <t>6 ที่รองรับท่อ / Supports</t>
        </is>
      </c>
      <c r="C73" s="2" t="inlineStr">
        <is>
          <t>Riser clamp สำหรับท่อ Ø8"</t>
        </is>
      </c>
      <c r="D73" s="2" t="inlineStr">
        <is>
          <t>set</t>
        </is>
      </c>
      <c r="E73" s="2" t="n">
        <v>0</v>
      </c>
      <c r="F73" s="3" t="n"/>
      <c r="G73" s="3" t="n"/>
      <c r="H73" s="4">
        <f>E73*F73</f>
        <v/>
      </c>
      <c r="I73" s="4">
        <f>E73*G73</f>
        <v/>
      </c>
      <c r="J73" s="4">
        <f>H73+I73</f>
        <v/>
      </c>
    </row>
    <row r="74">
      <c r="A74" s="2" t="n">
        <v>73</v>
      </c>
      <c r="B74" s="2" t="inlineStr">
        <is>
          <t>6 ที่รองรับท่อ / Supports</t>
        </is>
      </c>
      <c r="C74" s="2" t="inlineStr">
        <is>
          <t>Riser clamp สำหรับท่อ Ø16"</t>
        </is>
      </c>
      <c r="D74" s="2" t="inlineStr">
        <is>
          <t>set</t>
        </is>
      </c>
      <c r="E74" s="2" t="n">
        <v>0</v>
      </c>
      <c r="F74" s="3" t="n"/>
      <c r="G74" s="3" t="n"/>
      <c r="H74" s="4">
        <f>E74*F74</f>
        <v/>
      </c>
      <c r="I74" s="4">
        <f>E74*G74</f>
        <v/>
      </c>
      <c r="J74" s="4">
        <f>H74+I74</f>
        <v/>
      </c>
    </row>
    <row r="75">
      <c r="A75" s="2" t="n">
        <v>74</v>
      </c>
      <c r="B75" s="2" t="inlineStr">
        <is>
          <t>6 ที่รองรับท่อ / Supports</t>
        </is>
      </c>
      <c r="C75" s="2" t="inlineStr">
        <is>
          <t>Riser clamp สำหรับท่อ Ø18"</t>
        </is>
      </c>
      <c r="D75" s="2" t="inlineStr">
        <is>
          <t>set</t>
        </is>
      </c>
      <c r="E75" s="2" t="n">
        <v>3</v>
      </c>
      <c r="F75" s="3" t="n"/>
      <c r="G75" s="3" t="n"/>
      <c r="H75" s="4">
        <f>E75*F75</f>
        <v/>
      </c>
      <c r="I75" s="4">
        <f>E75*G75</f>
        <v/>
      </c>
      <c r="J75" s="4">
        <f>H75+I75</f>
        <v/>
      </c>
    </row>
    <row r="76">
      <c r="A76" s="2" t="n">
        <v>75</v>
      </c>
      <c r="B76" s="2" t="inlineStr">
        <is>
          <t>6 ที่รองรับท่อ / Supports</t>
        </is>
      </c>
      <c r="C76" s="2" t="inlineStr">
        <is>
          <t>Roof pipe sleeper (concrete block + saddle) สำหรับท่อ Ø8"</t>
        </is>
      </c>
      <c r="D76" s="2" t="inlineStr">
        <is>
          <t>set</t>
        </is>
      </c>
      <c r="E76" s="2" t="n">
        <v>8</v>
      </c>
      <c r="F76" s="3" t="n"/>
      <c r="G76" s="3" t="n"/>
      <c r="H76" s="4">
        <f>E76*F76</f>
        <v/>
      </c>
      <c r="I76" s="4">
        <f>E76*G76</f>
        <v/>
      </c>
      <c r="J76" s="4">
        <f>H76+I76</f>
        <v/>
      </c>
    </row>
    <row r="77">
      <c r="A77" s="2" t="n">
        <v>76</v>
      </c>
      <c r="B77" s="2" t="inlineStr">
        <is>
          <t>6 ที่รองรับท่อ / Supports</t>
        </is>
      </c>
      <c r="C77" s="2" t="inlineStr">
        <is>
          <t>Roof pipe sleeper (concrete block + saddle) สำหรับท่อ Ø18"</t>
        </is>
      </c>
      <c r="D77" s="2" t="inlineStr">
        <is>
          <t>set</t>
        </is>
      </c>
      <c r="E77" s="2" t="n">
        <v>37</v>
      </c>
      <c r="F77" s="3" t="n"/>
      <c r="G77" s="3" t="n"/>
      <c r="H77" s="4">
        <f>E77*F77</f>
        <v/>
      </c>
      <c r="I77" s="4">
        <f>E77*G77</f>
        <v/>
      </c>
      <c r="J77" s="4">
        <f>H77+I77</f>
        <v/>
      </c>
    </row>
    <row r="78">
      <c r="A78" s="2" t="n">
        <v>77</v>
      </c>
      <c r="B78" s="2" t="inlineStr">
        <is>
          <t>7 งานสี / Painting</t>
        </is>
      </c>
      <c r="C78" s="2" t="inlineStr">
        <is>
          <t>แถบสีบริการ + ลูกศรทิศทางการไหล (ทุก 3 ม.)</t>
        </is>
      </c>
      <c r="D78" s="2" t="inlineStr">
        <is>
          <t>set</t>
        </is>
      </c>
      <c r="E78" s="2" t="n">
        <v>181</v>
      </c>
      <c r="F78" s="3" t="n"/>
      <c r="G78" s="3" t="n"/>
      <c r="H78" s="4">
        <f>E78*F78</f>
        <v/>
      </c>
      <c r="I78" s="4">
        <f>E78*G78</f>
        <v/>
      </c>
      <c r="J78" s="4">
        <f>H78+I78</f>
        <v/>
      </c>
    </row>
    <row r="79">
      <c r="A79" s="2" t="n">
        <v>78</v>
      </c>
      <c r="B79" s="2" t="inlineStr">
        <is>
          <t>8 อุปกรณ์ / Equipment</t>
        </is>
      </c>
      <c r="C79" s="2" t="inlineStr">
        <is>
          <t>CH-01 — Water-cooled screw / centrifugal (reference)</t>
        </is>
      </c>
      <c r="D79" s="2" t="inlineStr">
        <is>
          <t>set</t>
        </is>
      </c>
      <c r="E79" s="2" t="n">
        <v>1</v>
      </c>
      <c r="F79" s="3" t="n"/>
      <c r="G79" s="3" t="n"/>
      <c r="H79" s="4">
        <f>E79*F79</f>
        <v/>
      </c>
      <c r="I79" s="4">
        <f>E79*G79</f>
        <v/>
      </c>
      <c r="J79" s="4">
        <f>H79+I79</f>
        <v/>
      </c>
    </row>
    <row r="80">
      <c r="A80" s="2" t="n">
        <v>79</v>
      </c>
      <c r="B80" s="2" t="inlineStr">
        <is>
          <t>8 อุปกรณ์ / Equipment</t>
        </is>
      </c>
      <c r="C80" s="2" t="inlineStr">
        <is>
          <t>CH-02 — Water-cooled screw / centrifugal (reference)</t>
        </is>
      </c>
      <c r="D80" s="2" t="inlineStr">
        <is>
          <t>set</t>
        </is>
      </c>
      <c r="E80" s="2" t="n">
        <v>1</v>
      </c>
      <c r="F80" s="3" t="n"/>
      <c r="G80" s="3" t="n"/>
      <c r="H80" s="4">
        <f>E80*F80</f>
        <v/>
      </c>
      <c r="I80" s="4">
        <f>E80*G80</f>
        <v/>
      </c>
      <c r="J80" s="4">
        <f>H80+I80</f>
        <v/>
      </c>
    </row>
    <row r="81">
      <c r="A81" s="2" t="n">
        <v>80</v>
      </c>
      <c r="B81" s="2" t="inlineStr">
        <is>
          <t>8 อุปกรณ์ / Equipment</t>
        </is>
      </c>
      <c r="C81" s="2" t="inlineStr">
        <is>
          <t>CHP-01 — Chilled water pump (primary-variable, headered)</t>
        </is>
      </c>
      <c r="D81" s="2" t="inlineStr">
        <is>
          <t>set</t>
        </is>
      </c>
      <c r="E81" s="2" t="n">
        <v>1</v>
      </c>
      <c r="F81" s="3" t="n"/>
      <c r="G81" s="3" t="n"/>
      <c r="H81" s="4">
        <f>E81*F81</f>
        <v/>
      </c>
      <c r="I81" s="4">
        <f>E81*G81</f>
        <v/>
      </c>
      <c r="J81" s="4">
        <f>H81+I81</f>
        <v/>
      </c>
    </row>
    <row r="82">
      <c r="A82" s="2" t="n">
        <v>81</v>
      </c>
      <c r="B82" s="2" t="inlineStr">
        <is>
          <t>8 อุปกรณ์ / Equipment</t>
        </is>
      </c>
      <c r="C82" s="2" t="inlineStr">
        <is>
          <t>CHP-02 — Chilled water pump (primary-variable, headered)</t>
        </is>
      </c>
      <c r="D82" s="2" t="inlineStr">
        <is>
          <t>set</t>
        </is>
      </c>
      <c r="E82" s="2" t="n">
        <v>1</v>
      </c>
      <c r="F82" s="3" t="n"/>
      <c r="G82" s="3" t="n"/>
      <c r="H82" s="4">
        <f>E82*F82</f>
        <v/>
      </c>
      <c r="I82" s="4">
        <f>E82*G82</f>
        <v/>
      </c>
      <c r="J82" s="4">
        <f>H82+I82</f>
        <v/>
      </c>
    </row>
    <row r="83">
      <c r="A83" s="2" t="n">
        <v>82</v>
      </c>
      <c r="B83" s="2" t="inlineStr">
        <is>
          <t>8 อุปกรณ์ / Equipment</t>
        </is>
      </c>
      <c r="C83" s="2" t="inlineStr">
        <is>
          <t>CDP-01 — Condenser water pump (headered)</t>
        </is>
      </c>
      <c r="D83" s="2" t="inlineStr">
        <is>
          <t>set</t>
        </is>
      </c>
      <c r="E83" s="2" t="n">
        <v>1</v>
      </c>
      <c r="F83" s="3" t="n"/>
      <c r="G83" s="3" t="n"/>
      <c r="H83" s="4">
        <f>E83*F83</f>
        <v/>
      </c>
      <c r="I83" s="4">
        <f>E83*G83</f>
        <v/>
      </c>
      <c r="J83" s="4">
        <f>H83+I83</f>
        <v/>
      </c>
    </row>
    <row r="84">
      <c r="A84" s="2" t="n">
        <v>83</v>
      </c>
      <c r="B84" s="2" t="inlineStr">
        <is>
          <t>8 อุปกรณ์ / Equipment</t>
        </is>
      </c>
      <c r="C84" s="2" t="inlineStr">
        <is>
          <t>CDP-02 — Condenser water pump (headered)</t>
        </is>
      </c>
      <c r="D84" s="2" t="inlineStr">
        <is>
          <t>set</t>
        </is>
      </c>
      <c r="E84" s="2" t="n">
        <v>1</v>
      </c>
      <c r="F84" s="3" t="n"/>
      <c r="G84" s="3" t="n"/>
      <c r="H84" s="4">
        <f>E84*F84</f>
        <v/>
      </c>
      <c r="I84" s="4">
        <f>E84*G84</f>
        <v/>
      </c>
      <c r="J84" s="4">
        <f>H84+I84</f>
        <v/>
      </c>
    </row>
    <row r="85">
      <c r="A85" s="2" t="n">
        <v>84</v>
      </c>
      <c r="B85" s="2" t="inlineStr">
        <is>
          <t>8 อุปกรณ์ / Equipment</t>
        </is>
      </c>
      <c r="C85" s="2" t="inlineStr">
        <is>
          <t>CT-01/1 — Cooling tower cell, Crossflow, induced draft (FRP)</t>
        </is>
      </c>
      <c r="D85" s="2" t="inlineStr">
        <is>
          <t>set</t>
        </is>
      </c>
      <c r="E85" s="2" t="n">
        <v>1</v>
      </c>
      <c r="F85" s="3" t="n"/>
      <c r="G85" s="3" t="n"/>
      <c r="H85" s="4">
        <f>E85*F85</f>
        <v/>
      </c>
      <c r="I85" s="4">
        <f>E85*G85</f>
        <v/>
      </c>
      <c r="J85" s="4">
        <f>H85+I85</f>
        <v/>
      </c>
    </row>
    <row r="86">
      <c r="A86" s="2" t="n">
        <v>85</v>
      </c>
      <c r="B86" s="2" t="inlineStr">
        <is>
          <t>8 อุปกรณ์ / Equipment</t>
        </is>
      </c>
      <c r="C86" s="2" t="inlineStr">
        <is>
          <t>CT-01/2 — Cooling tower cell, Crossflow, induced draft (FRP)</t>
        </is>
      </c>
      <c r="D86" s="2" t="inlineStr">
        <is>
          <t>set</t>
        </is>
      </c>
      <c r="E86" s="2" t="n">
        <v>1</v>
      </c>
      <c r="F86" s="3" t="n"/>
      <c r="G86" s="3" t="n"/>
      <c r="H86" s="4">
        <f>E86*F86</f>
        <v/>
      </c>
      <c r="I86" s="4">
        <f>E86*G86</f>
        <v/>
      </c>
      <c r="J86" s="4">
        <f>H86+I86</f>
        <v/>
      </c>
    </row>
    <row r="87">
      <c r="A87" s="2" t="n">
        <v>86</v>
      </c>
      <c r="B87" s="2" t="inlineStr">
        <is>
          <t>8 อุปกรณ์ / Equipment</t>
        </is>
      </c>
      <c r="C87" s="2" t="inlineStr">
        <is>
          <t>CT-02/1 — Cooling tower cell, Crossflow, induced draft (FRP)</t>
        </is>
      </c>
      <c r="D87" s="2" t="inlineStr">
        <is>
          <t>set</t>
        </is>
      </c>
      <c r="E87" s="2" t="n">
        <v>1</v>
      </c>
      <c r="F87" s="3" t="n"/>
      <c r="G87" s="3" t="n"/>
      <c r="H87" s="4">
        <f>E87*F87</f>
        <v/>
      </c>
      <c r="I87" s="4">
        <f>E87*G87</f>
        <v/>
      </c>
      <c r="J87" s="4">
        <f>H87+I87</f>
        <v/>
      </c>
    </row>
    <row r="88">
      <c r="A88" s="2" t="n">
        <v>87</v>
      </c>
      <c r="B88" s="2" t="inlineStr">
        <is>
          <t>8 อุปกรณ์ / Equipment</t>
        </is>
      </c>
      <c r="C88" s="2" t="inlineStr">
        <is>
          <t>CT-02/2 — Cooling tower cell, Crossflow, induced draft (FRP)</t>
        </is>
      </c>
      <c r="D88" s="2" t="inlineStr">
        <is>
          <t>set</t>
        </is>
      </c>
      <c r="E88" s="2" t="n">
        <v>1</v>
      </c>
      <c r="F88" s="3" t="n"/>
      <c r="G88" s="3" t="n"/>
      <c r="H88" s="4">
        <f>E88*F88</f>
        <v/>
      </c>
      <c r="I88" s="4">
        <f>E88*G88</f>
        <v/>
      </c>
      <c r="J88" s="4">
        <f>H88+I88</f>
        <v/>
      </c>
    </row>
    <row r="89">
      <c r="A89" s="2" t="n">
        <v>88</v>
      </c>
      <c r="B89" s="2" t="inlineStr">
        <is>
          <t>8 อุปกรณ์ / Equipment</t>
        </is>
      </c>
      <c r="C89" s="2" t="inlineStr">
        <is>
          <t>ET-01 — Expansion tank</t>
        </is>
      </c>
      <c r="D89" s="2" t="inlineStr">
        <is>
          <t>set</t>
        </is>
      </c>
      <c r="E89" s="2" t="n">
        <v>1</v>
      </c>
      <c r="F89" s="3" t="n"/>
      <c r="G89" s="3" t="n"/>
      <c r="H89" s="4">
        <f>E89*F89</f>
        <v/>
      </c>
      <c r="I89" s="4">
        <f>E89*G89</f>
        <v/>
      </c>
      <c r="J89" s="4">
        <f>H89+I89</f>
        <v/>
      </c>
    </row>
    <row r="90">
      <c r="A90" s="2" t="n">
        <v>89</v>
      </c>
      <c r="B90" s="2" t="inlineStr">
        <is>
          <t>8 อุปกรณ์ / Equipment</t>
        </is>
      </c>
      <c r="C90" s="2" t="inlineStr">
        <is>
          <t>DPB-01 — CHW minimum-flow bypass</t>
        </is>
      </c>
      <c r="D90" s="2" t="inlineStr">
        <is>
          <t>set</t>
        </is>
      </c>
      <c r="E90" s="2" t="n">
        <v>1</v>
      </c>
      <c r="F90" s="3" t="n"/>
      <c r="G90" s="3" t="n"/>
      <c r="H90" s="4">
        <f>E90*F90</f>
        <v/>
      </c>
      <c r="I90" s="4">
        <f>E90*G90</f>
        <v/>
      </c>
      <c r="J90" s="4">
        <f>H90+I90</f>
        <v/>
      </c>
    </row>
    <row r="91">
      <c r="A91" s="2" t="n">
        <v>90</v>
      </c>
      <c r="B91" s="2" t="inlineStr">
        <is>
          <t>8 อุปกรณ์ / Equipment</t>
        </is>
      </c>
      <c r="C91" s="2" t="inlineStr">
        <is>
          <t>CP-01 — CPMS control panel (Niagara JACE / Supervisor)</t>
        </is>
      </c>
      <c r="D91" s="2" t="inlineStr">
        <is>
          <t>set</t>
        </is>
      </c>
      <c r="E91" s="2" t="n">
        <v>1</v>
      </c>
      <c r="F91" s="3" t="n"/>
      <c r="G91" s="3" t="n"/>
      <c r="H91" s="4">
        <f>E91*F91</f>
        <v/>
      </c>
      <c r="I91" s="4">
        <f>E91*G91</f>
        <v/>
      </c>
      <c r="J91" s="4">
        <f>H91+I91</f>
        <v/>
      </c>
    </row>
    <row r="92">
      <c r="A92" s="2" t="n">
        <v>91</v>
      </c>
      <c r="B92" s="2" t="inlineStr">
        <is>
          <t>8 อุปกรณ์ / Equipment</t>
        </is>
      </c>
      <c r="C92" s="2" t="inlineStr">
        <is>
          <t>AHU-01 — Cooling tower cell, Air handling unit, CHW coil, VSD fan</t>
        </is>
      </c>
      <c r="D92" s="2" t="inlineStr">
        <is>
          <t>set</t>
        </is>
      </c>
      <c r="E92" s="2" t="n">
        <v>1</v>
      </c>
      <c r="F92" s="3" t="n"/>
      <c r="G92" s="3" t="n"/>
      <c r="H92" s="4">
        <f>E92*F92</f>
        <v/>
      </c>
      <c r="I92" s="4">
        <f>E92*G92</f>
        <v/>
      </c>
      <c r="J92" s="4">
        <f>H92+I92</f>
        <v/>
      </c>
    </row>
    <row r="93">
      <c r="A93" s="2" t="n">
        <v>92</v>
      </c>
      <c r="B93" s="2" t="inlineStr">
        <is>
          <t>8 อุปกรณ์ / Equipment</t>
        </is>
      </c>
      <c r="C93" s="2" t="inlineStr">
        <is>
          <t>AHU-02 — Cooling tower cell, Air handling unit, CHW coil, VSD fan</t>
        </is>
      </c>
      <c r="D93" s="2" t="inlineStr">
        <is>
          <t>set</t>
        </is>
      </c>
      <c r="E93" s="2" t="n">
        <v>1</v>
      </c>
      <c r="F93" s="3" t="n"/>
      <c r="G93" s="3" t="n"/>
      <c r="H93" s="4">
        <f>E93*F93</f>
        <v/>
      </c>
      <c r="I93" s="4">
        <f>E93*G93</f>
        <v/>
      </c>
      <c r="J93" s="4">
        <f>H93+I93</f>
        <v/>
      </c>
    </row>
    <row r="94">
      <c r="A94" s="2" t="n">
        <v>93</v>
      </c>
      <c r="B94" s="2" t="inlineStr">
        <is>
          <t>8 อุปกรณ์ / Equipment</t>
        </is>
      </c>
      <c r="C94" s="2" t="inlineStr">
        <is>
          <t>OAU-01 — Cooling tower cell, Outdoor air unit (dew point control)</t>
        </is>
      </c>
      <c r="D94" s="2" t="inlineStr">
        <is>
          <t>set</t>
        </is>
      </c>
      <c r="E94" s="2" t="n">
        <v>1</v>
      </c>
      <c r="F94" s="3" t="n"/>
      <c r="G94" s="3" t="n"/>
      <c r="H94" s="4">
        <f>E94*F94</f>
        <v/>
      </c>
      <c r="I94" s="4">
        <f>E94*G94</f>
        <v/>
      </c>
      <c r="J94" s="4">
        <f>H94+I94</f>
        <v/>
      </c>
    </row>
    <row r="95">
      <c r="A95" s="2" t="n">
        <v>94</v>
      </c>
      <c r="B95" s="2" t="inlineStr">
        <is>
          <t>8 อุปกรณ์ / Equipment</t>
        </is>
      </c>
      <c r="C95" s="2" t="inlineStr">
        <is>
          <t>FCU-01 — Cooling tower cell, Fan coil unit, 3-speed fan, on/off valve</t>
        </is>
      </c>
      <c r="D95" s="2" t="inlineStr">
        <is>
          <t>set</t>
        </is>
      </c>
      <c r="E95" s="2" t="n">
        <v>1</v>
      </c>
      <c r="F95" s="3" t="n"/>
      <c r="G95" s="3" t="n"/>
      <c r="H95" s="4">
        <f>E95*F95</f>
        <v/>
      </c>
      <c r="I95" s="4">
        <f>E95*G95</f>
        <v/>
      </c>
      <c r="J95" s="4">
        <f>H95+I95</f>
        <v/>
      </c>
    </row>
    <row r="96">
      <c r="A96" s="2" t="n">
        <v>95</v>
      </c>
      <c r="B96" s="2" t="inlineStr">
        <is>
          <t>8 อุปกรณ์ / Equipment</t>
        </is>
      </c>
      <c r="C96" s="2" t="inlineStr">
        <is>
          <t>FCU-02 — Cooling tower cell, Fan coil unit, 3-speed fan, on/off valve</t>
        </is>
      </c>
      <c r="D96" s="2" t="inlineStr">
        <is>
          <t>set</t>
        </is>
      </c>
      <c r="E96" s="2" t="n">
        <v>1</v>
      </c>
      <c r="F96" s="3" t="n"/>
      <c r="G96" s="3" t="n"/>
      <c r="H96" s="4">
        <f>E96*F96</f>
        <v/>
      </c>
      <c r="I96" s="4">
        <f>E96*G96</f>
        <v/>
      </c>
      <c r="J96" s="4">
        <f>H96+I96</f>
        <v/>
      </c>
    </row>
    <row r="97">
      <c r="A97" s="2" t="n">
        <v>96</v>
      </c>
      <c r="B97" s="2" t="inlineStr">
        <is>
          <t>8 อุปกรณ์ / Equipment</t>
        </is>
      </c>
      <c r="C97" s="2" t="inlineStr">
        <is>
          <t>FCU-03 — Cooling tower cell, Fan coil unit, 3-speed fan, on/off valve</t>
        </is>
      </c>
      <c r="D97" s="2" t="inlineStr">
        <is>
          <t>set</t>
        </is>
      </c>
      <c r="E97" s="2" t="n">
        <v>1</v>
      </c>
      <c r="F97" s="3" t="n"/>
      <c r="G97" s="3" t="n"/>
      <c r="H97" s="4">
        <f>E97*F97</f>
        <v/>
      </c>
      <c r="I97" s="4">
        <f>E97*G97</f>
        <v/>
      </c>
      <c r="J97" s="4">
        <f>H97+I97</f>
        <v/>
      </c>
    </row>
    <row r="98">
      <c r="A98" s="2" t="n">
        <v>97</v>
      </c>
      <c r="B98" s="2" t="inlineStr">
        <is>
          <t>8 อุปกรณ์ / Equipment</t>
        </is>
      </c>
      <c r="C98" s="2" t="inlineStr">
        <is>
          <t>FCU-04 — Cooling tower cell, Fan coil unit, 3-speed fan, on/off valve</t>
        </is>
      </c>
      <c r="D98" s="2" t="inlineStr">
        <is>
          <t>set</t>
        </is>
      </c>
      <c r="E98" s="2" t="n">
        <v>1</v>
      </c>
      <c r="F98" s="3" t="n"/>
      <c r="G98" s="3" t="n"/>
      <c r="H98" s="4">
        <f>E98*F98</f>
        <v/>
      </c>
      <c r="I98" s="4">
        <f>E98*G98</f>
        <v/>
      </c>
      <c r="J98" s="4">
        <f>H98+I98</f>
        <v/>
      </c>
    </row>
    <row r="99">
      <c r="A99" s="2" t="n">
        <v>98</v>
      </c>
      <c r="B99" s="2" t="inlineStr">
        <is>
          <t>8 อุปกรณ์ / Equipment</t>
        </is>
      </c>
      <c r="C99" s="2" t="inlineStr">
        <is>
          <t>AHU-F02 — Cooling tower cell, Air handling unit, CHW coil, VSD fan</t>
        </is>
      </c>
      <c r="D99" s="2" t="inlineStr">
        <is>
          <t>set</t>
        </is>
      </c>
      <c r="E99" s="2" t="n">
        <v>1</v>
      </c>
      <c r="F99" s="3" t="n"/>
      <c r="G99" s="3" t="n"/>
      <c r="H99" s="4">
        <f>E99*F99</f>
        <v/>
      </c>
      <c r="I99" s="4">
        <f>E99*G99</f>
        <v/>
      </c>
      <c r="J99" s="4">
        <f>H99+I99</f>
        <v/>
      </c>
    </row>
    <row r="100">
      <c r="A100" s="2" t="n">
        <v>99</v>
      </c>
      <c r="B100" s="2" t="inlineStr">
        <is>
          <t>8 อุปกรณ์ / Equipment</t>
        </is>
      </c>
      <c r="C100" s="2" t="inlineStr">
        <is>
          <t>AHU-F03 — Cooling tower cell, Air handling unit, CHW coil, VSD fan</t>
        </is>
      </c>
      <c r="D100" s="2" t="inlineStr">
        <is>
          <t>set</t>
        </is>
      </c>
      <c r="E100" s="2" t="n">
        <v>1</v>
      </c>
      <c r="F100" s="3" t="n"/>
      <c r="G100" s="3" t="n"/>
      <c r="H100" s="4">
        <f>E100*F100</f>
        <v/>
      </c>
      <c r="I100" s="4">
        <f>E100*G100</f>
        <v/>
      </c>
      <c r="J100" s="4">
        <f>H100+I100</f>
        <v/>
      </c>
    </row>
    <row r="101">
      <c r="A101" s="2" t="n">
        <v>100</v>
      </c>
      <c r="B101" s="2" t="inlineStr">
        <is>
          <t>8 อุปกรณ์ / Equipment</t>
        </is>
      </c>
      <c r="C101" s="2" t="inlineStr">
        <is>
          <t>AHU-F04 — Cooling tower cell, Air handling unit, CHW coil, VSD fan</t>
        </is>
      </c>
      <c r="D101" s="2" t="inlineStr">
        <is>
          <t>set</t>
        </is>
      </c>
      <c r="E101" s="2" t="n">
        <v>1</v>
      </c>
      <c r="F101" s="3" t="n"/>
      <c r="G101" s="3" t="n"/>
      <c r="H101" s="4">
        <f>E101*F101</f>
        <v/>
      </c>
      <c r="I101" s="4">
        <f>E101*G101</f>
        <v/>
      </c>
      <c r="J101" s="4">
        <f>H101+I101</f>
        <v/>
      </c>
    </row>
    <row r="102">
      <c r="A102" s="2" t="n">
        <v>101</v>
      </c>
      <c r="B102" s="2" t="inlineStr">
        <is>
          <t>8 อุปกรณ์ / Equipment</t>
        </is>
      </c>
      <c r="C102" s="2" t="inlineStr">
        <is>
          <t>AHU-F05 — Cooling tower cell, Air handling unit, CHW coil, VSD fan</t>
        </is>
      </c>
      <c r="D102" s="2" t="inlineStr">
        <is>
          <t>set</t>
        </is>
      </c>
      <c r="E102" s="2" t="n">
        <v>1</v>
      </c>
      <c r="F102" s="3" t="n"/>
      <c r="G102" s="3" t="n"/>
      <c r="H102" s="4">
        <f>E102*F102</f>
        <v/>
      </c>
      <c r="I102" s="4">
        <f>E102*G102</f>
        <v/>
      </c>
      <c r="J102" s="4">
        <f>H102+I102</f>
        <v/>
      </c>
    </row>
    <row r="103">
      <c r="A103" s="2" t="n">
        <v>102</v>
      </c>
      <c r="B103" s="2" t="inlineStr">
        <is>
          <t>8 อุปกรณ์ / Equipment</t>
        </is>
      </c>
      <c r="C103" s="2" t="inlineStr">
        <is>
          <t>AHU-F06 — Cooling tower cell, Air handling unit, CHW coil, VSD fan</t>
        </is>
      </c>
      <c r="D103" s="2" t="inlineStr">
        <is>
          <t>set</t>
        </is>
      </c>
      <c r="E103" s="2" t="n">
        <v>1</v>
      </c>
      <c r="F103" s="3" t="n"/>
      <c r="G103" s="3" t="n"/>
      <c r="H103" s="4">
        <f>E103*F103</f>
        <v/>
      </c>
      <c r="I103" s="4">
        <f>E103*G103</f>
        <v/>
      </c>
      <c r="J103" s="4">
        <f>H103+I103</f>
        <v/>
      </c>
    </row>
    <row r="104">
      <c r="A104" s="2" t="n">
        <v>103</v>
      </c>
      <c r="B104" s="2" t="inlineStr">
        <is>
          <t>8 อุปกรณ์ / Equipment</t>
        </is>
      </c>
      <c r="C104" s="2" t="inlineStr">
        <is>
          <t>AHU-F07 — Cooling tower cell, Air handling unit, CHW coil, VSD fan</t>
        </is>
      </c>
      <c r="D104" s="2" t="inlineStr">
        <is>
          <t>set</t>
        </is>
      </c>
      <c r="E104" s="2" t="n">
        <v>1</v>
      </c>
      <c r="F104" s="3" t="n"/>
      <c r="G104" s="3" t="n"/>
      <c r="H104" s="4">
        <f>E104*F104</f>
        <v/>
      </c>
      <c r="I104" s="4">
        <f>E104*G104</f>
        <v/>
      </c>
      <c r="J104" s="4">
        <f>H104+I104</f>
        <v/>
      </c>
    </row>
    <row r="105">
      <c r="A105" s="2" t="n">
        <v>104</v>
      </c>
      <c r="B105" s="2" t="inlineStr">
        <is>
          <t>8 อุปกรณ์ / Equipment</t>
        </is>
      </c>
      <c r="C105" s="2" t="inlineStr">
        <is>
          <t>AHU-F08 — Cooling tower cell, Air handling unit, CHW coil, VSD fan</t>
        </is>
      </c>
      <c r="D105" s="2" t="inlineStr">
        <is>
          <t>set</t>
        </is>
      </c>
      <c r="E105" s="2" t="n">
        <v>1</v>
      </c>
      <c r="F105" s="3" t="n"/>
      <c r="G105" s="3" t="n"/>
      <c r="H105" s="4">
        <f>E105*F105</f>
        <v/>
      </c>
      <c r="I105" s="4">
        <f>E105*G105</f>
        <v/>
      </c>
      <c r="J105" s="4">
        <f>H105+I105</f>
        <v/>
      </c>
    </row>
    <row r="106">
      <c r="A106" s="2" t="n">
        <v>105</v>
      </c>
      <c r="B106" s="2" t="inlineStr">
        <is>
          <t>8 อุปกรณ์ / Equipment</t>
        </is>
      </c>
      <c r="C106" s="2" t="inlineStr">
        <is>
          <t>EF-01 — Cooling tower cell, Fan</t>
        </is>
      </c>
      <c r="D106" s="2" t="inlineStr">
        <is>
          <t>set</t>
        </is>
      </c>
      <c r="E106" s="2" t="n">
        <v>1</v>
      </c>
      <c r="F106" s="3" t="n"/>
      <c r="G106" s="3" t="n"/>
      <c r="H106" s="4">
        <f>E106*F106</f>
        <v/>
      </c>
      <c r="I106" s="4">
        <f>E106*G106</f>
        <v/>
      </c>
      <c r="J106" s="4">
        <f>H106+I106</f>
        <v/>
      </c>
    </row>
    <row r="107">
      <c r="A107" s="2" t="n">
        <v>106</v>
      </c>
      <c r="B107" s="2" t="inlineStr">
        <is>
          <t>8 อุปกรณ์ / Equipment</t>
        </is>
      </c>
      <c r="C107" s="2" t="inlineStr">
        <is>
          <t>EF-02 — Cooling tower cell, Fan</t>
        </is>
      </c>
      <c r="D107" s="2" t="inlineStr">
        <is>
          <t>set</t>
        </is>
      </c>
      <c r="E107" s="2" t="n">
        <v>1</v>
      </c>
      <c r="F107" s="3" t="n"/>
      <c r="G107" s="3" t="n"/>
      <c r="H107" s="4">
        <f>E107*F107</f>
        <v/>
      </c>
      <c r="I107" s="4">
        <f>E107*G107</f>
        <v/>
      </c>
      <c r="J107" s="4">
        <f>H107+I107</f>
        <v/>
      </c>
    </row>
    <row r="108">
      <c r="A108" s="2" t="n">
        <v>107</v>
      </c>
      <c r="B108" s="2" t="inlineStr">
        <is>
          <t>8 อุปกรณ์ / Equipment</t>
        </is>
      </c>
      <c r="C108" s="2" t="inlineStr">
        <is>
          <t>EF-03 — Cooling tower cell, Fan</t>
        </is>
      </c>
      <c r="D108" s="2" t="inlineStr">
        <is>
          <t>set</t>
        </is>
      </c>
      <c r="E108" s="2" t="n">
        <v>1</v>
      </c>
      <c r="F108" s="3" t="n"/>
      <c r="G108" s="3" t="n"/>
      <c r="H108" s="4">
        <f>E108*F108</f>
        <v/>
      </c>
      <c r="I108" s="4">
        <f>E108*G108</f>
        <v/>
      </c>
      <c r="J108" s="4">
        <f>H108+I108</f>
        <v/>
      </c>
    </row>
    <row r="109">
      <c r="A109" s="2" t="n">
        <v>108</v>
      </c>
      <c r="B109" s="2" t="inlineStr">
        <is>
          <t>8 อุปกรณ์ / Equipment</t>
        </is>
      </c>
      <c r="C109" s="2" t="inlineStr">
        <is>
          <t>CPEF-01 — Cooling tower cell, Fan</t>
        </is>
      </c>
      <c r="D109" s="2" t="inlineStr">
        <is>
          <t>set</t>
        </is>
      </c>
      <c r="E109" s="2" t="n">
        <v>1</v>
      </c>
      <c r="F109" s="3" t="n"/>
      <c r="G109" s="3" t="n"/>
      <c r="H109" s="4">
        <f>E109*F109</f>
        <v/>
      </c>
      <c r="I109" s="4">
        <f>E109*G109</f>
        <v/>
      </c>
      <c r="J109" s="4">
        <f>H109+I109</f>
        <v/>
      </c>
    </row>
    <row r="110">
      <c r="A110" s="2" t="n">
        <v>109</v>
      </c>
      <c r="B110" s="2" t="inlineStr">
        <is>
          <t>8 อุปกรณ์ / Equipment</t>
        </is>
      </c>
      <c r="C110" s="2" t="inlineStr">
        <is>
          <t>LSF-01 — Cooling tower cell, Fan</t>
        </is>
      </c>
      <c r="D110" s="2" t="inlineStr">
        <is>
          <t>set</t>
        </is>
      </c>
      <c r="E110" s="2" t="n">
        <v>1</v>
      </c>
      <c r="F110" s="3" t="n"/>
      <c r="G110" s="3" t="n"/>
      <c r="H110" s="4">
        <f>E110*F110</f>
        <v/>
      </c>
      <c r="I110" s="4">
        <f>E110*G110</f>
        <v/>
      </c>
      <c r="J110" s="4">
        <f>H110+I110</f>
        <v/>
      </c>
    </row>
    <row r="111">
      <c r="A111" s="2" t="n">
        <v>110</v>
      </c>
      <c r="B111" s="2" t="inlineStr">
        <is>
          <t>8 อุปกรณ์ / Equipment</t>
        </is>
      </c>
      <c r="C111" s="2" t="inlineStr">
        <is>
          <t>SEF-01 — Cooling tower cell, Fan</t>
        </is>
      </c>
      <c r="D111" s="2" t="inlineStr">
        <is>
          <t>set</t>
        </is>
      </c>
      <c r="E111" s="2" t="n">
        <v>1</v>
      </c>
      <c r="F111" s="3" t="n"/>
      <c r="G111" s="3" t="n"/>
      <c r="H111" s="4">
        <f>E111*F111</f>
        <v/>
      </c>
      <c r="I111" s="4">
        <f>E111*G111</f>
        <v/>
      </c>
      <c r="J111" s="4">
        <f>H111+I111</f>
        <v/>
      </c>
    </row>
    <row r="112">
      <c r="A112" s="2" t="n"/>
      <c r="B112" s="2" t="n"/>
      <c r="C112" s="2" t="n"/>
      <c r="D112" s="2" t="n"/>
      <c r="E112" s="2" t="n"/>
      <c r="F112" s="4" t="n"/>
      <c r="G112" s="4" t="n"/>
      <c r="H112" s="4" t="n"/>
      <c r="I112" s="4" t="n"/>
      <c r="J112" s="4" t="n"/>
    </row>
    <row r="113">
      <c r="A113" s="5" t="inlineStr"/>
      <c r="B113" s="5" t="inlineStr"/>
      <c r="C113" s="5" t="inlineStr">
        <is>
          <t>รวมก่อนภาษี / SUBTOTAL</t>
        </is>
      </c>
      <c r="D113" s="5" t="inlineStr"/>
      <c r="E113" s="5" t="inlineStr"/>
      <c r="F113" s="6" t="inlineStr"/>
      <c r="G113" s="6" t="inlineStr"/>
      <c r="H113" s="6">
        <f>SUM(H2:H111)</f>
        <v/>
      </c>
      <c r="I113" s="6">
        <f>SUM(I2:I111)</f>
        <v/>
      </c>
      <c r="J113" s="6">
        <f>SUM(J2:J111)</f>
        <v/>
      </c>
    </row>
    <row r="114">
      <c r="A114" s="5" t="inlineStr"/>
      <c r="B114" s="5" t="inlineStr"/>
      <c r="C114" s="5" t="inlineStr">
        <is>
          <t>ภาษีมูลค่าเพิ่ม 7% / VAT</t>
        </is>
      </c>
      <c r="D114" s="5" t="inlineStr"/>
      <c r="E114" s="5" t="inlineStr"/>
      <c r="F114" s="6" t="inlineStr"/>
      <c r="G114" s="6" t="inlineStr"/>
      <c r="H114" s="6" t="inlineStr"/>
      <c r="I114" s="6" t="inlineStr"/>
      <c r="J114" s="6">
        <f>J113*0.07</f>
        <v/>
      </c>
    </row>
    <row r="115">
      <c r="A115" s="5" t="inlineStr"/>
      <c r="B115" s="5" t="inlineStr"/>
      <c r="C115" s="5" t="inlineStr">
        <is>
          <t>รวมทั้งสิ้น / GRAND TOTAL</t>
        </is>
      </c>
      <c r="D115" s="5" t="inlineStr"/>
      <c r="E115" s="5" t="inlineStr"/>
      <c r="F115" s="6" t="inlineStr"/>
      <c r="G115" s="6" t="inlineStr"/>
      <c r="H115" s="6" t="inlineStr"/>
      <c r="I115" s="6" t="inlineStr"/>
      <c r="J115" s="6">
        <f>J113+J114</f>
        <v/>
      </c>
    </row>
    <row r="117">
      <c r="C117" t="inlineStr">
        <is>
          <t>ช่องสีเหลือง = ราคาต่อหน่วยให้ผู้ประมาณราคากรอก · ปริมาณคำนวณอัตโนมัติจากแบบจำลอง BIM (ท่อ +5% เผื่อเศษ) · สร้างใหม่ได้ทุกครั้งที่แก้แบบจำลอง</t>
        </is>
      </c>
    </row>
    <row r="118">
      <c r="C118" t="inlineStr">
        <is>
          <t>IFC: ALT_Lotus_ChillerPlant.ifc · Drawing set M-000…M-601 · generated 08/10/2026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1" customWidth="1" min="4" max="4"/>
    <col width="8" customWidth="1" min="5" max="5"/>
    <col width="9" customWidth="1" min="6" max="6"/>
    <col width="11" customWidth="1" min="7" max="7"/>
    <col width="13" customWidth="1" min="8" max="8"/>
    <col width="24" customWidth="1" min="9" max="9"/>
    <col width="50" customWidth="1" min="10" max="10"/>
  </cols>
  <sheetData>
    <row r="1">
      <c r="A1" s="1" t="inlineStr">
        <is>
          <t>Pipe ID</t>
        </is>
      </c>
      <c r="B1" s="1" t="inlineStr">
        <is>
          <t>Service</t>
        </is>
      </c>
      <c r="C1" s="1" t="inlineStr">
        <is>
          <t>DN (in)</t>
        </is>
      </c>
      <c r="D1" s="1" t="inlineStr">
        <is>
          <t>Length (m)</t>
        </is>
      </c>
      <c r="E1" s="1" t="inlineStr">
        <is>
          <t>Elbows</t>
        </is>
      </c>
      <c r="F1" s="1" t="inlineStr">
        <is>
          <t>Insulated</t>
        </is>
      </c>
      <c r="G1" s="1" t="inlineStr">
        <is>
          <t>Capped ends</t>
        </is>
      </c>
      <c r="H1" s="1" t="inlineStr">
        <is>
          <t>Flow-span (m)</t>
        </is>
      </c>
      <c r="I1" s="1" t="inlineStr">
        <is>
          <t>Status point</t>
        </is>
      </c>
      <c r="J1" s="1" t="inlineStr">
        <is>
          <t>Note</t>
        </is>
      </c>
    </row>
    <row r="2">
      <c r="A2" t="inlineStr">
        <is>
          <t>CHR-R</t>
        </is>
      </c>
      <c r="B2" t="inlineStr">
        <is>
          <t>CHR</t>
        </is>
      </c>
      <c r="C2" t="n">
        <v>16</v>
      </c>
      <c r="D2" t="n">
        <v>33.68</v>
      </c>
      <c r="E2" t="n">
        <v>0</v>
      </c>
      <c r="F2" t="inlineStr">
        <is>
          <t>Y</t>
        </is>
      </c>
      <c r="G2" t="inlineStr">
        <is>
          <t>start</t>
        </is>
      </c>
      <c r="H2" t="inlineStr">
        <is>
          <t>4.20-33.68</t>
        </is>
      </c>
      <c r="I2" t="inlineStr">
        <is>
          <t>Gfx_ChwMain_Fwd</t>
        </is>
      </c>
      <c r="J2" t="inlineStr">
        <is>
          <t>CHW return riser (shaft)</t>
        </is>
      </c>
    </row>
    <row r="3">
      <c r="A3" t="inlineStr">
        <is>
          <t>CHR-SH</t>
        </is>
      </c>
      <c r="B3" t="inlineStr">
        <is>
          <t>CHR</t>
        </is>
      </c>
      <c r="C3" t="n">
        <v>16</v>
      </c>
      <c r="D3" t="n">
        <v>12.9</v>
      </c>
      <c r="E3" t="n">
        <v>0</v>
      </c>
      <c r="F3" t="inlineStr">
        <is>
          <t>Y</t>
        </is>
      </c>
      <c r="G3" t="inlineStr">
        <is>
          <t>end</t>
        </is>
      </c>
      <c r="H3" t="inlineStr">
        <is>
          <t>0.00-12.00</t>
        </is>
      </c>
      <c r="I3" t="inlineStr">
        <is>
          <t>Gfx_ChwMain_Fwd</t>
        </is>
      </c>
      <c r="J3" t="inlineStr">
        <is>
          <t>CHP suction header</t>
        </is>
      </c>
    </row>
    <row r="4">
      <c r="A4" t="inlineStr">
        <is>
          <t>CHR-DH</t>
        </is>
      </c>
      <c r="B4" t="inlineStr">
        <is>
          <t>CHR</t>
        </is>
      </c>
      <c r="C4" t="n">
        <v>16</v>
      </c>
      <c r="D4" t="n">
        <v>11.2</v>
      </c>
      <c r="E4" t="n">
        <v>0</v>
      </c>
      <c r="F4" t="inlineStr">
        <is>
          <t>Y</t>
        </is>
      </c>
      <c r="G4" t="inlineStr">
        <is>
          <t>both</t>
        </is>
      </c>
      <c r="H4" t="inlineStr">
        <is>
          <t>0.90-7.70</t>
        </is>
      </c>
      <c r="I4" t="inlineStr">
        <is>
          <t>Gfx_EvapTotal_Fwd</t>
        </is>
      </c>
      <c r="J4" t="inlineStr">
        <is>
          <t>CHP discharge header</t>
        </is>
      </c>
    </row>
    <row r="5">
      <c r="A5" t="inlineStr">
        <is>
          <t>CHR-EH</t>
        </is>
      </c>
      <c r="B5" t="inlineStr">
        <is>
          <t>CHR</t>
        </is>
      </c>
      <c r="C5" t="n">
        <v>16</v>
      </c>
      <c r="D5" t="n">
        <v>29.34</v>
      </c>
      <c r="E5" t="n">
        <v>0</v>
      </c>
      <c r="F5" t="inlineStr">
        <is>
          <t>Y</t>
        </is>
      </c>
      <c r="G5" t="inlineStr">
        <is>
          <t>end</t>
        </is>
      </c>
      <c r="H5" t="inlineStr">
        <is>
          <t>0.00-29.05</t>
        </is>
      </c>
      <c r="I5" t="inlineStr">
        <is>
          <t>Gfx_EvapTotal_Fwd</t>
        </is>
      </c>
      <c r="J5" t="inlineStr">
        <is>
          <t>CHW header to evaporators</t>
        </is>
      </c>
    </row>
    <row r="6">
      <c r="A6" t="inlineStr">
        <is>
          <t>CHS-H</t>
        </is>
      </c>
      <c r="B6" t="inlineStr">
        <is>
          <t>CHS</t>
        </is>
      </c>
      <c r="C6" t="n">
        <v>16</v>
      </c>
      <c r="D6" t="n">
        <v>39.67</v>
      </c>
      <c r="E6" t="n">
        <v>1</v>
      </c>
      <c r="F6" t="inlineStr">
        <is>
          <t>Y</t>
        </is>
      </c>
      <c r="G6" t="inlineStr">
        <is>
          <t>start</t>
        </is>
      </c>
      <c r="H6" t="inlineStr">
        <is>
          <t>0.30-39.67</t>
        </is>
      </c>
      <c r="I6" t="inlineStr">
        <is>
          <t>Gfx_ChwMain_Fwd</t>
        </is>
      </c>
      <c r="J6" t="inlineStr">
        <is>
          <t>CHW supply header</t>
        </is>
      </c>
    </row>
    <row r="7">
      <c r="A7" t="inlineStr">
        <is>
          <t>CHS-R</t>
        </is>
      </c>
      <c r="B7" t="inlineStr">
        <is>
          <t>CHS</t>
        </is>
      </c>
      <c r="C7" t="n">
        <v>16</v>
      </c>
      <c r="D7" t="n">
        <v>31</v>
      </c>
      <c r="E7" t="n">
        <v>0</v>
      </c>
      <c r="F7" t="inlineStr">
        <is>
          <t>Y</t>
        </is>
      </c>
      <c r="G7" t="inlineStr">
        <is>
          <t>end</t>
        </is>
      </c>
      <c r="H7" t="inlineStr">
        <is>
          <t>0.00-30.70</t>
        </is>
      </c>
      <c r="I7" t="inlineStr">
        <is>
          <t>Gfx_ChwMain_Fwd</t>
        </is>
      </c>
      <c r="J7" t="inlineStr">
        <is>
          <t>CHW supply riser (shaft)</t>
        </is>
      </c>
    </row>
    <row r="8">
      <c r="A8" t="inlineStr">
        <is>
          <t>CHW-BP</t>
        </is>
      </c>
      <c r="B8" t="inlineStr">
        <is>
          <t>CHS</t>
        </is>
      </c>
      <c r="C8" t="n">
        <v>6</v>
      </c>
      <c r="D8" t="n">
        <v>4.68</v>
      </c>
      <c r="E8" t="n">
        <v>3</v>
      </c>
      <c r="F8" t="inlineStr">
        <is>
          <t>Y</t>
        </is>
      </c>
      <c r="G8" t="inlineStr"/>
      <c r="H8" t="inlineStr">
        <is>
          <t>0.00-4.68</t>
        </is>
      </c>
      <c r="I8" t="inlineStr">
        <is>
          <t>Gfx_Bypass_Fwd</t>
        </is>
      </c>
      <c r="J8" t="inlineStr">
        <is>
          <t>minimum-flow bypass</t>
        </is>
      </c>
    </row>
    <row r="9">
      <c r="A9" t="inlineStr">
        <is>
          <t>CHW-ET</t>
        </is>
      </c>
      <c r="B9" t="inlineStr">
        <is>
          <t>CHR</t>
        </is>
      </c>
      <c r="C9" t="n">
        <v>2</v>
      </c>
      <c r="D9" t="n">
        <v>1.07</v>
      </c>
      <c r="E9" t="n">
        <v>2</v>
      </c>
      <c r="F9" t="inlineStr">
        <is>
          <t>Y</t>
        </is>
      </c>
      <c r="G9" t="inlineStr"/>
      <c r="H9" t="inlineStr">
        <is>
          <t>0.00-1.07</t>
        </is>
      </c>
      <c r="I9" t="inlineStr"/>
      <c r="J9" t="inlineStr">
        <is>
          <t>expansion tank</t>
        </is>
      </c>
    </row>
    <row r="10">
      <c r="A10" t="inlineStr">
        <is>
          <t>CDS-RH</t>
        </is>
      </c>
      <c r="B10" t="inlineStr">
        <is>
          <t>CDS</t>
        </is>
      </c>
      <c r="C10" t="n">
        <v>18</v>
      </c>
      <c r="D10" t="n">
        <v>50.1</v>
      </c>
      <c r="E10" t="n">
        <v>1</v>
      </c>
      <c r="F10" t="inlineStr"/>
      <c r="G10" t="inlineStr">
        <is>
          <t>start</t>
        </is>
      </c>
      <c r="H10" t="inlineStr">
        <is>
          <t>0.30-50.10</t>
        </is>
      </c>
      <c r="I10" t="inlineStr">
        <is>
          <t>Gfx_CdwTotal_Fwd</t>
        </is>
      </c>
      <c r="J10" t="inlineStr">
        <is>
          <t>roof collecting header</t>
        </is>
      </c>
    </row>
    <row r="11">
      <c r="A11" t="inlineStr">
        <is>
          <t>CDS-R</t>
        </is>
      </c>
      <c r="B11" t="inlineStr">
        <is>
          <t>CDS</t>
        </is>
      </c>
      <c r="C11" t="n">
        <v>18</v>
      </c>
      <c r="D11" t="n">
        <v>34.73</v>
      </c>
      <c r="E11" t="n">
        <v>0</v>
      </c>
      <c r="F11" t="inlineStr"/>
      <c r="G11" t="inlineStr"/>
      <c r="H11" t="inlineStr">
        <is>
          <t>0.00-34.73</t>
        </is>
      </c>
      <c r="I11" t="inlineStr">
        <is>
          <t>Gfx_CdwTotal_Fwd</t>
        </is>
      </c>
      <c r="J11" t="inlineStr">
        <is>
          <t>CDW riser from the towers</t>
        </is>
      </c>
    </row>
    <row r="12">
      <c r="A12" t="inlineStr">
        <is>
          <t>CDS-SH</t>
        </is>
      </c>
      <c r="B12" t="inlineStr">
        <is>
          <t>CDS</t>
        </is>
      </c>
      <c r="C12" t="n">
        <v>18</v>
      </c>
      <c r="D12" t="n">
        <v>17.3</v>
      </c>
      <c r="E12" t="n">
        <v>1</v>
      </c>
      <c r="F12" t="inlineStr"/>
      <c r="G12" t="inlineStr">
        <is>
          <t>end</t>
        </is>
      </c>
      <c r="H12" t="inlineStr">
        <is>
          <t>0.00-16.40</t>
        </is>
      </c>
      <c r="I12" t="inlineStr">
        <is>
          <t>Gfx_CdwTotal_Fwd</t>
        </is>
      </c>
      <c r="J12" t="inlineStr">
        <is>
          <t>CDP suction header</t>
        </is>
      </c>
    </row>
    <row r="13">
      <c r="A13" t="inlineStr">
        <is>
          <t>CDS-DH</t>
        </is>
      </c>
      <c r="B13" t="inlineStr">
        <is>
          <t>CDS</t>
        </is>
      </c>
      <c r="C13" t="n">
        <v>18</v>
      </c>
      <c r="D13" t="n">
        <v>11.2</v>
      </c>
      <c r="E13" t="n">
        <v>0</v>
      </c>
      <c r="F13" t="inlineStr"/>
      <c r="G13" t="inlineStr">
        <is>
          <t>both</t>
        </is>
      </c>
      <c r="H13" t="inlineStr">
        <is>
          <t>0.90-6.40</t>
        </is>
      </c>
      <c r="I13" t="inlineStr">
        <is>
          <t>Gfx_CdwTotal_Fwd</t>
        </is>
      </c>
      <c r="J13" t="inlineStr">
        <is>
          <t>CDP discharge header</t>
        </is>
      </c>
    </row>
    <row r="14">
      <c r="A14" t="inlineStr">
        <is>
          <t>CDS-CH</t>
        </is>
      </c>
      <c r="B14" t="inlineStr">
        <is>
          <t>CDS</t>
        </is>
      </c>
      <c r="C14" t="n">
        <v>18</v>
      </c>
      <c r="D14" t="n">
        <v>36.2</v>
      </c>
      <c r="E14" t="n">
        <v>0</v>
      </c>
      <c r="F14" t="inlineStr"/>
      <c r="G14" t="inlineStr">
        <is>
          <t>end</t>
        </is>
      </c>
      <c r="H14" t="inlineStr">
        <is>
          <t>0.00-35.90</t>
        </is>
      </c>
      <c r="I14" t="inlineStr">
        <is>
          <t>Gfx_CdwTotal_Fwd</t>
        </is>
      </c>
      <c r="J14" t="inlineStr">
        <is>
          <t>CDW header to condensers</t>
        </is>
      </c>
    </row>
    <row r="15">
      <c r="A15" t="inlineStr">
        <is>
          <t>CDR-H</t>
        </is>
      </c>
      <c r="B15" t="inlineStr">
        <is>
          <t>CDR</t>
        </is>
      </c>
      <c r="C15" t="n">
        <v>18</v>
      </c>
      <c r="D15" t="n">
        <v>39.92</v>
      </c>
      <c r="E15" t="n">
        <v>0</v>
      </c>
      <c r="F15" t="inlineStr"/>
      <c r="G15" t="inlineStr">
        <is>
          <t>start</t>
        </is>
      </c>
      <c r="H15" t="inlineStr">
        <is>
          <t>0.30-39.92</t>
        </is>
      </c>
      <c r="I15" t="inlineStr">
        <is>
          <t>Gfx_CdwTotal_Fwd</t>
        </is>
      </c>
      <c r="J15" t="inlineStr">
        <is>
          <t>CDW return header</t>
        </is>
      </c>
    </row>
    <row r="16">
      <c r="A16" t="inlineStr">
        <is>
          <t>CDR-R</t>
        </is>
      </c>
      <c r="B16" t="inlineStr">
        <is>
          <t>CDR</t>
        </is>
      </c>
      <c r="C16" t="n">
        <v>18</v>
      </c>
      <c r="D16" t="n">
        <v>33.35</v>
      </c>
      <c r="E16" t="n">
        <v>1</v>
      </c>
      <c r="F16" t="inlineStr"/>
      <c r="G16" t="inlineStr"/>
      <c r="H16" t="inlineStr">
        <is>
          <t>0.00-33.35</t>
        </is>
      </c>
      <c r="I16" t="inlineStr">
        <is>
          <t>Gfx_CdwTotal_Fwd</t>
        </is>
      </c>
      <c r="J16" t="inlineStr">
        <is>
          <t>CDW return riser to the roof</t>
        </is>
      </c>
    </row>
    <row r="17">
      <c r="A17" t="inlineStr">
        <is>
          <t>CDR-RH</t>
        </is>
      </c>
      <c r="B17" t="inlineStr">
        <is>
          <t>CDR</t>
        </is>
      </c>
      <c r="C17" t="n">
        <v>18</v>
      </c>
      <c r="D17" t="n">
        <v>39.9</v>
      </c>
      <c r="E17" t="n">
        <v>0</v>
      </c>
      <c r="F17" t="inlineStr"/>
      <c r="G17" t="inlineStr">
        <is>
          <t>end</t>
        </is>
      </c>
      <c r="H17" t="inlineStr">
        <is>
          <t>0.00-39.60</t>
        </is>
      </c>
      <c r="I17" t="inlineStr">
        <is>
          <t>Gfx_CdwTotal_Fwd</t>
        </is>
      </c>
      <c r="J17" t="inlineStr">
        <is>
          <t>roof distribution header</t>
        </is>
      </c>
    </row>
    <row r="18">
      <c r="A18" t="inlineStr">
        <is>
          <t>CHR-E1</t>
        </is>
      </c>
      <c r="B18" t="inlineStr">
        <is>
          <t>CHR</t>
        </is>
      </c>
      <c r="C18" t="n">
        <v>8</v>
      </c>
      <c r="D18" t="n">
        <v>1.83</v>
      </c>
      <c r="E18" t="n">
        <v>1</v>
      </c>
      <c r="F18" t="inlineStr">
        <is>
          <t>Y</t>
        </is>
      </c>
      <c r="G18" t="inlineStr"/>
      <c r="H18" t="inlineStr">
        <is>
          <t>0.00-1.83</t>
        </is>
      </c>
      <c r="I18" t="inlineStr">
        <is>
          <t>Gfx_CH01Evap_Fwd</t>
        </is>
      </c>
      <c r="J18" t="inlineStr"/>
    </row>
    <row r="19">
      <c r="A19" t="inlineStr">
        <is>
          <t>CHS-E1</t>
        </is>
      </c>
      <c r="B19" t="inlineStr">
        <is>
          <t>CHS</t>
        </is>
      </c>
      <c r="C19" t="n">
        <v>8</v>
      </c>
      <c r="D19" t="n">
        <v>3.03</v>
      </c>
      <c r="E19" t="n">
        <v>1</v>
      </c>
      <c r="F19" t="inlineStr">
        <is>
          <t>Y</t>
        </is>
      </c>
      <c r="G19" t="inlineStr"/>
      <c r="H19" t="inlineStr">
        <is>
          <t>0.00-3.03</t>
        </is>
      </c>
      <c r="I19" t="inlineStr">
        <is>
          <t>Gfx_CH01Evap_Fwd</t>
        </is>
      </c>
      <c r="J19" t="inlineStr"/>
    </row>
    <row r="20">
      <c r="A20" t="inlineStr">
        <is>
          <t>CDS-C1</t>
        </is>
      </c>
      <c r="B20" t="inlineStr">
        <is>
          <t>CDS</t>
        </is>
      </c>
      <c r="C20" t="n">
        <v>8</v>
      </c>
      <c r="D20" t="n">
        <v>2.79</v>
      </c>
      <c r="E20" t="n">
        <v>1</v>
      </c>
      <c r="F20" t="inlineStr"/>
      <c r="G20" t="inlineStr"/>
      <c r="H20" t="inlineStr">
        <is>
          <t>0.00-2.79</t>
        </is>
      </c>
      <c r="I20" t="inlineStr">
        <is>
          <t>Gfx_CH01Cond_Fwd</t>
        </is>
      </c>
      <c r="J20" t="inlineStr"/>
    </row>
    <row r="21">
      <c r="A21" t="inlineStr">
        <is>
          <t>CDR-C1</t>
        </is>
      </c>
      <c r="B21" t="inlineStr">
        <is>
          <t>CDR</t>
        </is>
      </c>
      <c r="C21" t="n">
        <v>8</v>
      </c>
      <c r="D21" t="n">
        <v>5.59</v>
      </c>
      <c r="E21" t="n">
        <v>1</v>
      </c>
      <c r="F21" t="inlineStr"/>
      <c r="G21" t="inlineStr"/>
      <c r="H21" t="inlineStr">
        <is>
          <t>0.00-5.59</t>
        </is>
      </c>
      <c r="I21" t="inlineStr">
        <is>
          <t>Gfx_CH01Cond_Fwd</t>
        </is>
      </c>
      <c r="J21" t="inlineStr"/>
    </row>
    <row r="22">
      <c r="A22" t="inlineStr">
        <is>
          <t>CHR-E2</t>
        </is>
      </c>
      <c r="B22" t="inlineStr">
        <is>
          <t>CHR</t>
        </is>
      </c>
      <c r="C22" t="n">
        <v>8</v>
      </c>
      <c r="D22" t="n">
        <v>1.83</v>
      </c>
      <c r="E22" t="n">
        <v>1</v>
      </c>
      <c r="F22" t="inlineStr">
        <is>
          <t>Y</t>
        </is>
      </c>
      <c r="G22" t="inlineStr"/>
      <c r="H22" t="inlineStr">
        <is>
          <t>0.00-1.83</t>
        </is>
      </c>
      <c r="I22" t="inlineStr">
        <is>
          <t>Gfx_CH02Evap_Fwd</t>
        </is>
      </c>
      <c r="J22" t="inlineStr"/>
    </row>
    <row r="23">
      <c r="A23" t="inlineStr">
        <is>
          <t>CHS-E2</t>
        </is>
      </c>
      <c r="B23" t="inlineStr">
        <is>
          <t>CHS</t>
        </is>
      </c>
      <c r="C23" t="n">
        <v>8</v>
      </c>
      <c r="D23" t="n">
        <v>3.03</v>
      </c>
      <c r="E23" t="n">
        <v>1</v>
      </c>
      <c r="F23" t="inlineStr">
        <is>
          <t>Y</t>
        </is>
      </c>
      <c r="G23" t="inlineStr"/>
      <c r="H23" t="inlineStr">
        <is>
          <t>0.00-3.03</t>
        </is>
      </c>
      <c r="I23" t="inlineStr">
        <is>
          <t>Gfx_CH02Evap_Fwd</t>
        </is>
      </c>
      <c r="J23" t="inlineStr"/>
    </row>
    <row r="24">
      <c r="A24" t="inlineStr">
        <is>
          <t>CDS-C2</t>
        </is>
      </c>
      <c r="B24" t="inlineStr">
        <is>
          <t>CDS</t>
        </is>
      </c>
      <c r="C24" t="n">
        <v>8</v>
      </c>
      <c r="D24" t="n">
        <v>2.79</v>
      </c>
      <c r="E24" t="n">
        <v>1</v>
      </c>
      <c r="F24" t="inlineStr"/>
      <c r="G24" t="inlineStr"/>
      <c r="H24" t="inlineStr">
        <is>
          <t>0.00-2.79</t>
        </is>
      </c>
      <c r="I24" t="inlineStr">
        <is>
          <t>Gfx_CH02Cond_Fwd</t>
        </is>
      </c>
      <c r="J24" t="inlineStr"/>
    </row>
    <row r="25">
      <c r="A25" t="inlineStr">
        <is>
          <t>CDR-C2</t>
        </is>
      </c>
      <c r="B25" t="inlineStr">
        <is>
          <t>CDR</t>
        </is>
      </c>
      <c r="C25" t="n">
        <v>8</v>
      </c>
      <c r="D25" t="n">
        <v>5.59</v>
      </c>
      <c r="E25" t="n">
        <v>1</v>
      </c>
      <c r="F25" t="inlineStr"/>
      <c r="G25" t="inlineStr"/>
      <c r="H25" t="inlineStr">
        <is>
          <t>0.00-5.59</t>
        </is>
      </c>
      <c r="I25" t="inlineStr">
        <is>
          <t>Gfx_CH02Cond_Fwd</t>
        </is>
      </c>
      <c r="J25" t="inlineStr"/>
    </row>
    <row r="26">
      <c r="A26" t="inlineStr">
        <is>
          <t>CHR-P1</t>
        </is>
      </c>
      <c r="B26" t="inlineStr">
        <is>
          <t>CHR</t>
        </is>
      </c>
      <c r="C26" t="n">
        <v>8</v>
      </c>
      <c r="D26" t="n">
        <v>0.78</v>
      </c>
      <c r="E26" t="n">
        <v>0</v>
      </c>
      <c r="F26" t="inlineStr">
        <is>
          <t>Y</t>
        </is>
      </c>
      <c r="G26" t="inlineStr"/>
      <c r="H26" t="inlineStr">
        <is>
          <t>0.00-0.78</t>
        </is>
      </c>
      <c r="I26" t="inlineStr">
        <is>
          <t>Gfx_CHP01_Fwd</t>
        </is>
      </c>
      <c r="J26" t="inlineStr"/>
    </row>
    <row r="27">
      <c r="A27" t="inlineStr">
        <is>
          <t>CHR-D1</t>
        </is>
      </c>
      <c r="B27" t="inlineStr">
        <is>
          <t>CHR</t>
        </is>
      </c>
      <c r="C27" t="n">
        <v>8</v>
      </c>
      <c r="D27" t="n">
        <v>1.49</v>
      </c>
      <c r="E27" t="n">
        <v>0</v>
      </c>
      <c r="F27" t="inlineStr">
        <is>
          <t>Y</t>
        </is>
      </c>
      <c r="G27" t="inlineStr"/>
      <c r="H27" t="inlineStr">
        <is>
          <t>0.00-1.49</t>
        </is>
      </c>
      <c r="I27" t="inlineStr">
        <is>
          <t>Gfx_CHP01_Fwd</t>
        </is>
      </c>
      <c r="J27" t="inlineStr"/>
    </row>
    <row r="28">
      <c r="A28" t="inlineStr">
        <is>
          <t>CHR-P2</t>
        </is>
      </c>
      <c r="B28" t="inlineStr">
        <is>
          <t>CHR</t>
        </is>
      </c>
      <c r="C28" t="n">
        <v>8</v>
      </c>
      <c r="D28" t="n">
        <v>0.78</v>
      </c>
      <c r="E28" t="n">
        <v>0</v>
      </c>
      <c r="F28" t="inlineStr">
        <is>
          <t>Y</t>
        </is>
      </c>
      <c r="G28" t="inlineStr"/>
      <c r="H28" t="inlineStr">
        <is>
          <t>0.00-0.78</t>
        </is>
      </c>
      <c r="I28" t="inlineStr">
        <is>
          <t>Gfx_CHP02_Fwd</t>
        </is>
      </c>
      <c r="J28" t="inlineStr"/>
    </row>
    <row r="29">
      <c r="A29" t="inlineStr">
        <is>
          <t>CHR-D2</t>
        </is>
      </c>
      <c r="B29" t="inlineStr">
        <is>
          <t>CHR</t>
        </is>
      </c>
      <c r="C29" t="n">
        <v>8</v>
      </c>
      <c r="D29" t="n">
        <v>1.49</v>
      </c>
      <c r="E29" t="n">
        <v>0</v>
      </c>
      <c r="F29" t="inlineStr">
        <is>
          <t>Y</t>
        </is>
      </c>
      <c r="G29" t="inlineStr"/>
      <c r="H29" t="inlineStr">
        <is>
          <t>0.00-1.49</t>
        </is>
      </c>
      <c r="I29" t="inlineStr">
        <is>
          <t>Gfx_CHP02_Fwd</t>
        </is>
      </c>
      <c r="J29" t="inlineStr"/>
    </row>
    <row r="30">
      <c r="A30" t="inlineStr">
        <is>
          <t>CDS-P1</t>
        </is>
      </c>
      <c r="B30" t="inlineStr">
        <is>
          <t>CDS</t>
        </is>
      </c>
      <c r="C30" t="n">
        <v>8</v>
      </c>
      <c r="D30" t="n">
        <v>0.38</v>
      </c>
      <c r="E30" t="n">
        <v>0</v>
      </c>
      <c r="F30" t="inlineStr"/>
      <c r="G30" t="inlineStr"/>
      <c r="H30" t="inlineStr">
        <is>
          <t>0.00-0.38</t>
        </is>
      </c>
      <c r="I30" t="inlineStr">
        <is>
          <t>Gfx_CDP01_Fwd</t>
        </is>
      </c>
      <c r="J30" t="inlineStr"/>
    </row>
    <row r="31">
      <c r="A31" t="inlineStr">
        <is>
          <t>CDS-D1</t>
        </is>
      </c>
      <c r="B31" t="inlineStr">
        <is>
          <t>CDS</t>
        </is>
      </c>
      <c r="C31" t="n">
        <v>8</v>
      </c>
      <c r="D31" t="n">
        <v>0.6899999999999999</v>
      </c>
      <c r="E31" t="n">
        <v>0</v>
      </c>
      <c r="F31" t="inlineStr"/>
      <c r="G31" t="inlineStr"/>
      <c r="H31" t="inlineStr">
        <is>
          <t>0.00-0.69</t>
        </is>
      </c>
      <c r="I31" t="inlineStr">
        <is>
          <t>Gfx_CDP01_Fwd</t>
        </is>
      </c>
      <c r="J31" t="inlineStr"/>
    </row>
    <row r="32">
      <c r="A32" t="inlineStr">
        <is>
          <t>CDS-P2</t>
        </is>
      </c>
      <c r="B32" t="inlineStr">
        <is>
          <t>CDS</t>
        </is>
      </c>
      <c r="C32" t="n">
        <v>8</v>
      </c>
      <c r="D32" t="n">
        <v>0.38</v>
      </c>
      <c r="E32" t="n">
        <v>0</v>
      </c>
      <c r="F32" t="inlineStr"/>
      <c r="G32" t="inlineStr"/>
      <c r="H32" t="inlineStr">
        <is>
          <t>0.00-0.38</t>
        </is>
      </c>
      <c r="I32" t="inlineStr">
        <is>
          <t>Gfx_CDP02_Fwd</t>
        </is>
      </c>
      <c r="J32" t="inlineStr"/>
    </row>
    <row r="33">
      <c r="A33" t="inlineStr">
        <is>
          <t>CDS-D2</t>
        </is>
      </c>
      <c r="B33" t="inlineStr">
        <is>
          <t>CDS</t>
        </is>
      </c>
      <c r="C33" t="n">
        <v>8</v>
      </c>
      <c r="D33" t="n">
        <v>0.6899999999999999</v>
      </c>
      <c r="E33" t="n">
        <v>0</v>
      </c>
      <c r="F33" t="inlineStr"/>
      <c r="G33" t="inlineStr"/>
      <c r="H33" t="inlineStr">
        <is>
          <t>0.00-0.69</t>
        </is>
      </c>
      <c r="I33" t="inlineStr">
        <is>
          <t>Gfx_CDP02_Fwd</t>
        </is>
      </c>
      <c r="J33" t="inlineStr"/>
    </row>
    <row r="34">
      <c r="A34" t="inlineStr">
        <is>
          <t>CDR-T1</t>
        </is>
      </c>
      <c r="B34" t="inlineStr">
        <is>
          <t>CDR</t>
        </is>
      </c>
      <c r="C34" t="n">
        <v>8</v>
      </c>
      <c r="D34" t="n">
        <v>4.59</v>
      </c>
      <c r="E34" t="n">
        <v>1</v>
      </c>
      <c r="F34" t="inlineStr"/>
      <c r="G34" t="inlineStr"/>
      <c r="H34" t="inlineStr">
        <is>
          <t>0.00-4.59</t>
        </is>
      </c>
      <c r="I34" t="inlineStr">
        <is>
          <t>Gfx_CT01_Fwd</t>
        </is>
      </c>
      <c r="J34" t="inlineStr">
        <is>
          <t>cell inlet</t>
        </is>
      </c>
    </row>
    <row r="35">
      <c r="A35" t="inlineStr">
        <is>
          <t>CDS-T1</t>
        </is>
      </c>
      <c r="B35" t="inlineStr">
        <is>
          <t>CDS</t>
        </is>
      </c>
      <c r="C35" t="n">
        <v>8</v>
      </c>
      <c r="D35" t="n">
        <v>1.85</v>
      </c>
      <c r="E35" t="n">
        <v>1</v>
      </c>
      <c r="F35" t="inlineStr"/>
      <c r="G35" t="inlineStr"/>
      <c r="H35" t="inlineStr">
        <is>
          <t>0.00-1.85</t>
        </is>
      </c>
      <c r="I35" t="inlineStr">
        <is>
          <t>Gfx_CT01_Fwd</t>
        </is>
      </c>
      <c r="J35" t="inlineStr">
        <is>
          <t>cell outlet</t>
        </is>
      </c>
    </row>
    <row r="36">
      <c r="A36" t="inlineStr">
        <is>
          <t>CDR-T2</t>
        </is>
      </c>
      <c r="B36" t="inlineStr">
        <is>
          <t>CDR</t>
        </is>
      </c>
      <c r="C36" t="n">
        <v>8</v>
      </c>
      <c r="D36" t="n">
        <v>4.59</v>
      </c>
      <c r="E36" t="n">
        <v>1</v>
      </c>
      <c r="F36" t="inlineStr"/>
      <c r="G36" t="inlineStr"/>
      <c r="H36" t="inlineStr">
        <is>
          <t>0.00-4.59</t>
        </is>
      </c>
      <c r="I36" t="inlineStr">
        <is>
          <t>Gfx_CT01_Fwd</t>
        </is>
      </c>
      <c r="J36" t="inlineStr">
        <is>
          <t>cell inlet</t>
        </is>
      </c>
    </row>
    <row r="37">
      <c r="A37" t="inlineStr">
        <is>
          <t>CDS-T2</t>
        </is>
      </c>
      <c r="B37" t="inlineStr">
        <is>
          <t>CDS</t>
        </is>
      </c>
      <c r="C37" t="n">
        <v>8</v>
      </c>
      <c r="D37" t="n">
        <v>1.85</v>
      </c>
      <c r="E37" t="n">
        <v>1</v>
      </c>
      <c r="F37" t="inlineStr"/>
      <c r="G37" t="inlineStr"/>
      <c r="H37" t="inlineStr">
        <is>
          <t>0.00-1.85</t>
        </is>
      </c>
      <c r="I37" t="inlineStr">
        <is>
          <t>Gfx_CT01_Fwd</t>
        </is>
      </c>
      <c r="J37" t="inlineStr">
        <is>
          <t>cell outlet</t>
        </is>
      </c>
    </row>
    <row r="38">
      <c r="A38" t="inlineStr">
        <is>
          <t>CDR-T3</t>
        </is>
      </c>
      <c r="B38" t="inlineStr">
        <is>
          <t>CDR</t>
        </is>
      </c>
      <c r="C38" t="n">
        <v>8</v>
      </c>
      <c r="D38" t="n">
        <v>4.59</v>
      </c>
      <c r="E38" t="n">
        <v>1</v>
      </c>
      <c r="F38" t="inlineStr"/>
      <c r="G38" t="inlineStr"/>
      <c r="H38" t="inlineStr">
        <is>
          <t>0.00-4.59</t>
        </is>
      </c>
      <c r="I38" t="inlineStr">
        <is>
          <t>Gfx_CT02_Fwd</t>
        </is>
      </c>
      <c r="J38" t="inlineStr">
        <is>
          <t>cell inlet</t>
        </is>
      </c>
    </row>
    <row r="39">
      <c r="A39" t="inlineStr">
        <is>
          <t>CDS-T3</t>
        </is>
      </c>
      <c r="B39" t="inlineStr">
        <is>
          <t>CDS</t>
        </is>
      </c>
      <c r="C39" t="n">
        <v>8</v>
      </c>
      <c r="D39" t="n">
        <v>1.85</v>
      </c>
      <c r="E39" t="n">
        <v>1</v>
      </c>
      <c r="F39" t="inlineStr"/>
      <c r="G39" t="inlineStr"/>
      <c r="H39" t="inlineStr">
        <is>
          <t>0.00-1.85</t>
        </is>
      </c>
      <c r="I39" t="inlineStr">
        <is>
          <t>Gfx_CT02_Fwd</t>
        </is>
      </c>
      <c r="J39" t="inlineStr">
        <is>
          <t>cell outlet</t>
        </is>
      </c>
    </row>
    <row r="40">
      <c r="A40" t="inlineStr">
        <is>
          <t>CDR-T4</t>
        </is>
      </c>
      <c r="B40" t="inlineStr">
        <is>
          <t>CDR</t>
        </is>
      </c>
      <c r="C40" t="n">
        <v>8</v>
      </c>
      <c r="D40" t="n">
        <v>4.59</v>
      </c>
      <c r="E40" t="n">
        <v>1</v>
      </c>
      <c r="F40" t="inlineStr"/>
      <c r="G40" t="inlineStr"/>
      <c r="H40" t="inlineStr">
        <is>
          <t>0.00-4.59</t>
        </is>
      </c>
      <c r="I40" t="inlineStr">
        <is>
          <t>Gfx_CT02_Fwd</t>
        </is>
      </c>
      <c r="J40" t="inlineStr">
        <is>
          <t>cell inlet</t>
        </is>
      </c>
    </row>
    <row r="41">
      <c r="A41" t="inlineStr">
        <is>
          <t>CDS-T4</t>
        </is>
      </c>
      <c r="B41" t="inlineStr">
        <is>
          <t>CDS</t>
        </is>
      </c>
      <c r="C41" t="n">
        <v>8</v>
      </c>
      <c r="D41" t="n">
        <v>1.85</v>
      </c>
      <c r="E41" t="n">
        <v>1</v>
      </c>
      <c r="F41" t="inlineStr"/>
      <c r="G41" t="inlineStr"/>
      <c r="H41" t="inlineStr">
        <is>
          <t>0.00-1.85</t>
        </is>
      </c>
      <c r="I41" t="inlineStr">
        <is>
          <t>Gfx_CT02_Fwd</t>
        </is>
      </c>
      <c r="J41" t="inlineStr">
        <is>
          <t>cell outlet</t>
        </is>
      </c>
    </row>
    <row r="42">
      <c r="A42" t="inlineStr">
        <is>
          <t>CHS-F2</t>
        </is>
      </c>
      <c r="B42" t="inlineStr">
        <is>
          <t>CHS</t>
        </is>
      </c>
      <c r="C42" t="n">
        <v>4</v>
      </c>
      <c r="D42" t="n">
        <v>5.7</v>
      </c>
      <c r="E42" t="n">
        <v>2</v>
      </c>
      <c r="F42" t="inlineStr">
        <is>
          <t>Y</t>
        </is>
      </c>
      <c r="G42" t="inlineStr"/>
      <c r="H42" t="inlineStr">
        <is>
          <t>0.00-5.70</t>
        </is>
      </c>
      <c r="I42" t="inlineStr">
        <is>
          <t>Gfx_AHU_F02_Fwd</t>
        </is>
      </c>
      <c r="J42" t="inlineStr">
        <is>
          <t>floor 2 AHU supply</t>
        </is>
      </c>
    </row>
    <row r="43">
      <c r="A43" t="inlineStr">
        <is>
          <t>CHR-F2</t>
        </is>
      </c>
      <c r="B43" t="inlineStr">
        <is>
          <t>CHR</t>
        </is>
      </c>
      <c r="C43" t="n">
        <v>4</v>
      </c>
      <c r="D43" t="n">
        <v>7.9</v>
      </c>
      <c r="E43" t="n">
        <v>2</v>
      </c>
      <c r="F43" t="inlineStr">
        <is>
          <t>Y</t>
        </is>
      </c>
      <c r="G43" t="inlineStr"/>
      <c r="H43" t="inlineStr">
        <is>
          <t>0.00-7.90</t>
        </is>
      </c>
      <c r="I43" t="inlineStr">
        <is>
          <t>Gfx_AHU_F02_Fwd</t>
        </is>
      </c>
      <c r="J43" t="inlineStr">
        <is>
          <t>floor 2 AHU return</t>
        </is>
      </c>
    </row>
    <row r="44">
      <c r="A44" t="inlineStr">
        <is>
          <t>CHS-F3</t>
        </is>
      </c>
      <c r="B44" t="inlineStr">
        <is>
          <t>CHS</t>
        </is>
      </c>
      <c r="C44" t="n">
        <v>4</v>
      </c>
      <c r="D44" t="n">
        <v>5.7</v>
      </c>
      <c r="E44" t="n">
        <v>2</v>
      </c>
      <c r="F44" t="inlineStr">
        <is>
          <t>Y</t>
        </is>
      </c>
      <c r="G44" t="inlineStr"/>
      <c r="H44" t="inlineStr">
        <is>
          <t>0.00-5.70</t>
        </is>
      </c>
      <c r="I44" t="inlineStr">
        <is>
          <t>Gfx_AHU_F03_Fwd</t>
        </is>
      </c>
      <c r="J44" t="inlineStr">
        <is>
          <t>floor 3 AHU supply</t>
        </is>
      </c>
    </row>
    <row r="45">
      <c r="A45" t="inlineStr">
        <is>
          <t>CHR-F3</t>
        </is>
      </c>
      <c r="B45" t="inlineStr">
        <is>
          <t>CHR</t>
        </is>
      </c>
      <c r="C45" t="n">
        <v>4</v>
      </c>
      <c r="D45" t="n">
        <v>7.9</v>
      </c>
      <c r="E45" t="n">
        <v>2</v>
      </c>
      <c r="F45" t="inlineStr">
        <is>
          <t>Y</t>
        </is>
      </c>
      <c r="G45" t="inlineStr"/>
      <c r="H45" t="inlineStr">
        <is>
          <t>0.00-7.90</t>
        </is>
      </c>
      <c r="I45" t="inlineStr">
        <is>
          <t>Gfx_AHU_F03_Fwd</t>
        </is>
      </c>
      <c r="J45" t="inlineStr">
        <is>
          <t>floor 3 AHU return</t>
        </is>
      </c>
    </row>
    <row r="46">
      <c r="A46" t="inlineStr">
        <is>
          <t>CHS-F4</t>
        </is>
      </c>
      <c r="B46" t="inlineStr">
        <is>
          <t>CHS</t>
        </is>
      </c>
      <c r="C46" t="n">
        <v>4</v>
      </c>
      <c r="D46" t="n">
        <v>5.7</v>
      </c>
      <c r="E46" t="n">
        <v>2</v>
      </c>
      <c r="F46" t="inlineStr">
        <is>
          <t>Y</t>
        </is>
      </c>
      <c r="G46" t="inlineStr"/>
      <c r="H46" t="inlineStr">
        <is>
          <t>0.00-5.70</t>
        </is>
      </c>
      <c r="I46" t="inlineStr">
        <is>
          <t>Gfx_AHU_F04_Fwd</t>
        </is>
      </c>
      <c r="J46" t="inlineStr">
        <is>
          <t>floor 4 AHU supply</t>
        </is>
      </c>
    </row>
    <row r="47">
      <c r="A47" t="inlineStr">
        <is>
          <t>CHR-F4</t>
        </is>
      </c>
      <c r="B47" t="inlineStr">
        <is>
          <t>CHR</t>
        </is>
      </c>
      <c r="C47" t="n">
        <v>4</v>
      </c>
      <c r="D47" t="n">
        <v>7.9</v>
      </c>
      <c r="E47" t="n">
        <v>2</v>
      </c>
      <c r="F47" t="inlineStr">
        <is>
          <t>Y</t>
        </is>
      </c>
      <c r="G47" t="inlineStr"/>
      <c r="H47" t="inlineStr">
        <is>
          <t>0.00-7.90</t>
        </is>
      </c>
      <c r="I47" t="inlineStr">
        <is>
          <t>Gfx_AHU_F04_Fwd</t>
        </is>
      </c>
      <c r="J47" t="inlineStr">
        <is>
          <t>floor 4 AHU return</t>
        </is>
      </c>
    </row>
    <row r="48">
      <c r="A48" t="inlineStr">
        <is>
          <t>CHS-F5</t>
        </is>
      </c>
      <c r="B48" t="inlineStr">
        <is>
          <t>CHS</t>
        </is>
      </c>
      <c r="C48" t="n">
        <v>4</v>
      </c>
      <c r="D48" t="n">
        <v>5.7</v>
      </c>
      <c r="E48" t="n">
        <v>2</v>
      </c>
      <c r="F48" t="inlineStr">
        <is>
          <t>Y</t>
        </is>
      </c>
      <c r="G48" t="inlineStr"/>
      <c r="H48" t="inlineStr">
        <is>
          <t>0.00-5.70</t>
        </is>
      </c>
      <c r="I48" t="inlineStr">
        <is>
          <t>Gfx_AHU_F05_Fwd</t>
        </is>
      </c>
      <c r="J48" t="inlineStr">
        <is>
          <t>floor 5 AHU supply</t>
        </is>
      </c>
    </row>
    <row r="49">
      <c r="A49" t="inlineStr">
        <is>
          <t>CHR-F5</t>
        </is>
      </c>
      <c r="B49" t="inlineStr">
        <is>
          <t>CHR</t>
        </is>
      </c>
      <c r="C49" t="n">
        <v>4</v>
      </c>
      <c r="D49" t="n">
        <v>7.9</v>
      </c>
      <c r="E49" t="n">
        <v>2</v>
      </c>
      <c r="F49" t="inlineStr">
        <is>
          <t>Y</t>
        </is>
      </c>
      <c r="G49" t="inlineStr"/>
      <c r="H49" t="inlineStr">
        <is>
          <t>0.00-7.90</t>
        </is>
      </c>
      <c r="I49" t="inlineStr">
        <is>
          <t>Gfx_AHU_F05_Fwd</t>
        </is>
      </c>
      <c r="J49" t="inlineStr">
        <is>
          <t>floor 5 AHU return</t>
        </is>
      </c>
    </row>
    <row r="50">
      <c r="A50" t="inlineStr">
        <is>
          <t>CHS-F6</t>
        </is>
      </c>
      <c r="B50" t="inlineStr">
        <is>
          <t>CHS</t>
        </is>
      </c>
      <c r="C50" t="n">
        <v>4</v>
      </c>
      <c r="D50" t="n">
        <v>5.7</v>
      </c>
      <c r="E50" t="n">
        <v>2</v>
      </c>
      <c r="F50" t="inlineStr">
        <is>
          <t>Y</t>
        </is>
      </c>
      <c r="G50" t="inlineStr"/>
      <c r="H50" t="inlineStr">
        <is>
          <t>0.00-5.70</t>
        </is>
      </c>
      <c r="I50" t="inlineStr">
        <is>
          <t>Gfx_AHU_F06_Fwd</t>
        </is>
      </c>
      <c r="J50" t="inlineStr">
        <is>
          <t>floor 6 AHU supply</t>
        </is>
      </c>
    </row>
    <row r="51">
      <c r="A51" t="inlineStr">
        <is>
          <t>CHR-F6</t>
        </is>
      </c>
      <c r="B51" t="inlineStr">
        <is>
          <t>CHR</t>
        </is>
      </c>
      <c r="C51" t="n">
        <v>4</v>
      </c>
      <c r="D51" t="n">
        <v>7.9</v>
      </c>
      <c r="E51" t="n">
        <v>2</v>
      </c>
      <c r="F51" t="inlineStr">
        <is>
          <t>Y</t>
        </is>
      </c>
      <c r="G51" t="inlineStr"/>
      <c r="H51" t="inlineStr">
        <is>
          <t>0.00-7.90</t>
        </is>
      </c>
      <c r="I51" t="inlineStr">
        <is>
          <t>Gfx_AHU_F06_Fwd</t>
        </is>
      </c>
      <c r="J51" t="inlineStr">
        <is>
          <t>floor 6 AHU return</t>
        </is>
      </c>
    </row>
    <row r="52">
      <c r="A52" t="inlineStr">
        <is>
          <t>CHS-F7</t>
        </is>
      </c>
      <c r="B52" t="inlineStr">
        <is>
          <t>CHS</t>
        </is>
      </c>
      <c r="C52" t="n">
        <v>4</v>
      </c>
      <c r="D52" t="n">
        <v>5.7</v>
      </c>
      <c r="E52" t="n">
        <v>2</v>
      </c>
      <c r="F52" t="inlineStr">
        <is>
          <t>Y</t>
        </is>
      </c>
      <c r="G52" t="inlineStr"/>
      <c r="H52" t="inlineStr">
        <is>
          <t>0.00-5.70</t>
        </is>
      </c>
      <c r="I52" t="inlineStr">
        <is>
          <t>Gfx_AHU_F07_Fwd</t>
        </is>
      </c>
      <c r="J52" t="inlineStr">
        <is>
          <t>floor 7 AHU supply</t>
        </is>
      </c>
    </row>
    <row r="53">
      <c r="A53" t="inlineStr">
        <is>
          <t>CHR-F7</t>
        </is>
      </c>
      <c r="B53" t="inlineStr">
        <is>
          <t>CHR</t>
        </is>
      </c>
      <c r="C53" t="n">
        <v>4</v>
      </c>
      <c r="D53" t="n">
        <v>7.9</v>
      </c>
      <c r="E53" t="n">
        <v>2</v>
      </c>
      <c r="F53" t="inlineStr">
        <is>
          <t>Y</t>
        </is>
      </c>
      <c r="G53" t="inlineStr"/>
      <c r="H53" t="inlineStr">
        <is>
          <t>0.00-7.90</t>
        </is>
      </c>
      <c r="I53" t="inlineStr">
        <is>
          <t>Gfx_AHU_F07_Fwd</t>
        </is>
      </c>
      <c r="J53" t="inlineStr">
        <is>
          <t>floor 7 AHU return</t>
        </is>
      </c>
    </row>
    <row r="54">
      <c r="A54" t="inlineStr">
        <is>
          <t>CHS-F8</t>
        </is>
      </c>
      <c r="B54" t="inlineStr">
        <is>
          <t>CHS</t>
        </is>
      </c>
      <c r="C54" t="n">
        <v>4</v>
      </c>
      <c r="D54" t="n">
        <v>5.7</v>
      </c>
      <c r="E54" t="n">
        <v>2</v>
      </c>
      <c r="F54" t="inlineStr">
        <is>
          <t>Y</t>
        </is>
      </c>
      <c r="G54" t="inlineStr"/>
      <c r="H54" t="inlineStr">
        <is>
          <t>0.00-5.70</t>
        </is>
      </c>
      <c r="I54" t="inlineStr">
        <is>
          <t>Gfx_AHU_F08_Fwd</t>
        </is>
      </c>
      <c r="J54" t="inlineStr">
        <is>
          <t>floor 8 AHU supply</t>
        </is>
      </c>
    </row>
    <row r="55">
      <c r="A55" t="inlineStr">
        <is>
          <t>CHR-F8</t>
        </is>
      </c>
      <c r="B55" t="inlineStr">
        <is>
          <t>CHR</t>
        </is>
      </c>
      <c r="C55" t="n">
        <v>4</v>
      </c>
      <c r="D55" t="n">
        <v>7.9</v>
      </c>
      <c r="E55" t="n">
        <v>2</v>
      </c>
      <c r="F55" t="inlineStr">
        <is>
          <t>Y</t>
        </is>
      </c>
      <c r="G55" t="inlineStr"/>
      <c r="H55" t="inlineStr">
        <is>
          <t>0.00-7.90</t>
        </is>
      </c>
      <c r="I55" t="inlineStr">
        <is>
          <t>Gfx_AHU_F08_Fwd</t>
        </is>
      </c>
      <c r="J55" t="inlineStr">
        <is>
          <t>floor 8 AHU 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8" customWidth="1" min="4" max="4"/>
    <col width="10" customWidth="1" min="5" max="5"/>
    <col width="12" customWidth="1" min="6" max="6"/>
    <col width="8" customWidth="1" min="7" max="7"/>
    <col width="8" customWidth="1" min="8" max="8"/>
    <col width="8" customWidth="1" min="9" max="9"/>
    <col width="24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Kind</t>
        </is>
      </c>
      <c r="C1" s="1" t="inlineStr">
        <is>
          <t>Description</t>
        </is>
      </c>
      <c r="D1" s="1" t="inlineStr">
        <is>
          <t>DN (in)</t>
        </is>
      </c>
      <c r="E1" s="1" t="inlineStr">
        <is>
          <t>Pipe</t>
        </is>
      </c>
      <c r="F1" s="1" t="inlineStr">
        <is>
          <t>Distance along pipe (mm)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Tag</t>
        </is>
      </c>
      <c r="K1" s="1" t="inlineStr">
        <is>
          <t>BMS point</t>
        </is>
      </c>
    </row>
    <row r="2">
      <c r="A2" t="n">
        <v>1</v>
      </c>
      <c r="B2" t="inlineStr">
        <is>
          <t>MBFV</t>
        </is>
      </c>
      <c r="C2" t="inlineStr">
        <is>
          <t>Motorized butterfly valve (on/off, 24 Vac)</t>
        </is>
      </c>
      <c r="D2" t="n">
        <v>8</v>
      </c>
      <c r="E2" t="inlineStr">
        <is>
          <t>CHR-P1</t>
        </is>
      </c>
      <c r="F2" t="n">
        <v>150</v>
      </c>
      <c r="G2" t="n">
        <v>32450</v>
      </c>
      <c r="H2" t="n">
        <v>1600</v>
      </c>
      <c r="I2" t="n">
        <v>620</v>
      </c>
      <c r="J2" t="inlineStr">
        <is>
          <t>CHP01 suction</t>
        </is>
      </c>
      <c r="K2" t="inlineStr">
        <is>
          <t>Gfx_CHP01_SuctionMV_Pos</t>
        </is>
      </c>
    </row>
    <row r="3">
      <c r="A3" t="n">
        <v>2</v>
      </c>
      <c r="B3" t="inlineStr">
        <is>
          <t>STRAINER</t>
        </is>
      </c>
      <c r="C3" t="inlineStr">
        <is>
          <t>Y-strainer, 20 mesh</t>
        </is>
      </c>
      <c r="D3" t="n">
        <v>8</v>
      </c>
      <c r="E3" t="inlineStr">
        <is>
          <t>CHR-P1</t>
        </is>
      </c>
      <c r="F3" t="n">
        <v>420</v>
      </c>
      <c r="G3" t="n">
        <v>32720</v>
      </c>
      <c r="H3" t="n">
        <v>1600</v>
      </c>
      <c r="I3" t="n">
        <v>620</v>
      </c>
      <c r="J3" t="inlineStr"/>
      <c r="K3" t="inlineStr"/>
    </row>
    <row r="4">
      <c r="A4" t="n">
        <v>3</v>
      </c>
      <c r="B4" t="inlineStr">
        <is>
          <t>FLEX</t>
        </is>
      </c>
      <c r="C4" t="inlineStr">
        <is>
          <t>Flexible connector, EPDM double sphere</t>
        </is>
      </c>
      <c r="D4" t="n">
        <v>6</v>
      </c>
      <c r="E4" t="inlineStr">
        <is>
          <t>CHR-P1</t>
        </is>
      </c>
      <c r="F4" t="n">
        <v>-160</v>
      </c>
      <c r="G4" t="n">
        <v>32920</v>
      </c>
      <c r="H4" t="n">
        <v>1600</v>
      </c>
      <c r="I4" t="n">
        <v>620</v>
      </c>
      <c r="J4" t="inlineStr"/>
      <c r="K4" t="inlineStr"/>
    </row>
    <row r="5">
      <c r="A5" t="n">
        <v>4</v>
      </c>
      <c r="B5" t="inlineStr">
        <is>
          <t>FLEX</t>
        </is>
      </c>
      <c r="C5" t="inlineStr">
        <is>
          <t>Flexible connector, EPDM double sphere</t>
        </is>
      </c>
      <c r="D5" t="n">
        <v>8</v>
      </c>
      <c r="E5" t="inlineStr">
        <is>
          <t>CHR-D1</t>
        </is>
      </c>
      <c r="F5" t="n">
        <v>140</v>
      </c>
      <c r="G5" t="n">
        <v>33475</v>
      </c>
      <c r="H5" t="n">
        <v>1600</v>
      </c>
      <c r="I5" t="n">
        <v>1250</v>
      </c>
      <c r="J5" t="inlineStr"/>
      <c r="K5" t="inlineStr"/>
    </row>
    <row r="6">
      <c r="A6" t="n">
        <v>5</v>
      </c>
      <c r="B6" t="inlineStr">
        <is>
          <t>CHECK</t>
        </is>
      </c>
      <c r="C6" t="inlineStr">
        <is>
          <t>Check valve, silent / dual plate</t>
        </is>
      </c>
      <c r="D6" t="n">
        <v>8</v>
      </c>
      <c r="E6" t="inlineStr">
        <is>
          <t>CHR-D1</t>
        </is>
      </c>
      <c r="F6" t="n">
        <v>420</v>
      </c>
      <c r="G6" t="n">
        <v>33475</v>
      </c>
      <c r="H6" t="n">
        <v>1600</v>
      </c>
      <c r="I6" t="n">
        <v>1530</v>
      </c>
      <c r="J6" t="inlineStr"/>
      <c r="K6" t="inlineStr"/>
    </row>
    <row r="7">
      <c r="A7" t="n">
        <v>6</v>
      </c>
      <c r="B7" t="inlineStr">
        <is>
          <t>MBFV</t>
        </is>
      </c>
      <c r="C7" t="inlineStr">
        <is>
          <t>Motorized butterfly valve (on/off, 24 Vac)</t>
        </is>
      </c>
      <c r="D7" t="n">
        <v>8</v>
      </c>
      <c r="E7" t="inlineStr">
        <is>
          <t>CHR-D1</t>
        </is>
      </c>
      <c r="F7" t="n">
        <v>760</v>
      </c>
      <c r="G7" t="n">
        <v>33475</v>
      </c>
      <c r="H7" t="n">
        <v>1600</v>
      </c>
      <c r="I7" t="n">
        <v>1870</v>
      </c>
      <c r="J7" t="inlineStr">
        <is>
          <t>CHP01 discharge MV</t>
        </is>
      </c>
      <c r="K7" t="inlineStr">
        <is>
          <t>Gfx_CHP01_DischargeMV_Pos</t>
        </is>
      </c>
    </row>
    <row r="8">
      <c r="A8" t="n">
        <v>7</v>
      </c>
      <c r="B8" t="inlineStr">
        <is>
          <t>MBFV</t>
        </is>
      </c>
      <c r="C8" t="inlineStr">
        <is>
          <t>Motorized butterfly valve (on/off, 24 Vac)</t>
        </is>
      </c>
      <c r="D8" t="n">
        <v>8</v>
      </c>
      <c r="E8" t="inlineStr">
        <is>
          <t>CHR-P2</t>
        </is>
      </c>
      <c r="F8" t="n">
        <v>150</v>
      </c>
      <c r="G8" t="n">
        <v>32450</v>
      </c>
      <c r="H8" t="n">
        <v>3600</v>
      </c>
      <c r="I8" t="n">
        <v>620</v>
      </c>
      <c r="J8" t="inlineStr">
        <is>
          <t>CHP02 suction</t>
        </is>
      </c>
      <c r="K8" t="inlineStr">
        <is>
          <t>Gfx_CHP02_SuctionMV_Pos</t>
        </is>
      </c>
    </row>
    <row r="9">
      <c r="A9" t="n">
        <v>8</v>
      </c>
      <c r="B9" t="inlineStr">
        <is>
          <t>STRAINER</t>
        </is>
      </c>
      <c r="C9" t="inlineStr">
        <is>
          <t>Y-strainer, 20 mesh</t>
        </is>
      </c>
      <c r="D9" t="n">
        <v>8</v>
      </c>
      <c r="E9" t="inlineStr">
        <is>
          <t>CHR-P2</t>
        </is>
      </c>
      <c r="F9" t="n">
        <v>420</v>
      </c>
      <c r="G9" t="n">
        <v>32720</v>
      </c>
      <c r="H9" t="n">
        <v>3600</v>
      </c>
      <c r="I9" t="n">
        <v>620</v>
      </c>
      <c r="J9" t="inlineStr"/>
      <c r="K9" t="inlineStr"/>
    </row>
    <row r="10">
      <c r="A10" t="n">
        <v>9</v>
      </c>
      <c r="B10" t="inlineStr">
        <is>
          <t>FLEX</t>
        </is>
      </c>
      <c r="C10" t="inlineStr">
        <is>
          <t>Flexible connector, EPDM double sphere</t>
        </is>
      </c>
      <c r="D10" t="n">
        <v>6</v>
      </c>
      <c r="E10" t="inlineStr">
        <is>
          <t>CHR-P2</t>
        </is>
      </c>
      <c r="F10" t="n">
        <v>-160</v>
      </c>
      <c r="G10" t="n">
        <v>32920</v>
      </c>
      <c r="H10" t="n">
        <v>3600</v>
      </c>
      <c r="I10" t="n">
        <v>620</v>
      </c>
      <c r="J10" t="inlineStr"/>
      <c r="K10" t="inlineStr"/>
    </row>
    <row r="11">
      <c r="A11" t="n">
        <v>10</v>
      </c>
      <c r="B11" t="inlineStr">
        <is>
          <t>FLEX</t>
        </is>
      </c>
      <c r="C11" t="inlineStr">
        <is>
          <t>Flexible connector, EPDM double sphere</t>
        </is>
      </c>
      <c r="D11" t="n">
        <v>8</v>
      </c>
      <c r="E11" t="inlineStr">
        <is>
          <t>CHR-D2</t>
        </is>
      </c>
      <c r="F11" t="n">
        <v>140</v>
      </c>
      <c r="G11" t="n">
        <v>33475</v>
      </c>
      <c r="H11" t="n">
        <v>3600</v>
      </c>
      <c r="I11" t="n">
        <v>1250</v>
      </c>
      <c r="J11" t="inlineStr"/>
      <c r="K11" t="inlineStr"/>
    </row>
    <row r="12">
      <c r="A12" t="n">
        <v>11</v>
      </c>
      <c r="B12" t="inlineStr">
        <is>
          <t>CHECK</t>
        </is>
      </c>
      <c r="C12" t="inlineStr">
        <is>
          <t>Check valve, silent / dual plate</t>
        </is>
      </c>
      <c r="D12" t="n">
        <v>8</v>
      </c>
      <c r="E12" t="inlineStr">
        <is>
          <t>CHR-D2</t>
        </is>
      </c>
      <c r="F12" t="n">
        <v>420</v>
      </c>
      <c r="G12" t="n">
        <v>33475</v>
      </c>
      <c r="H12" t="n">
        <v>3600</v>
      </c>
      <c r="I12" t="n">
        <v>1530</v>
      </c>
      <c r="J12" t="inlineStr"/>
      <c r="K12" t="inlineStr"/>
    </row>
    <row r="13">
      <c r="A13" t="n">
        <v>12</v>
      </c>
      <c r="B13" t="inlineStr">
        <is>
          <t>MBFV</t>
        </is>
      </c>
      <c r="C13" t="inlineStr">
        <is>
          <t>Motorized butterfly valve (on/off, 24 Vac)</t>
        </is>
      </c>
      <c r="D13" t="n">
        <v>8</v>
      </c>
      <c r="E13" t="inlineStr">
        <is>
          <t>CHR-D2</t>
        </is>
      </c>
      <c r="F13" t="n">
        <v>760</v>
      </c>
      <c r="G13" t="n">
        <v>33475</v>
      </c>
      <c r="H13" t="n">
        <v>3600</v>
      </c>
      <c r="I13" t="n">
        <v>1870</v>
      </c>
      <c r="J13" t="inlineStr">
        <is>
          <t>CHP02 discharge MV</t>
        </is>
      </c>
      <c r="K13" t="inlineStr">
        <is>
          <t>Gfx_CHP02_DischargeMV_Pos</t>
        </is>
      </c>
    </row>
    <row r="14">
      <c r="A14" t="n">
        <v>13</v>
      </c>
      <c r="B14" t="inlineStr">
        <is>
          <t>MBFV</t>
        </is>
      </c>
      <c r="C14" t="inlineStr">
        <is>
          <t>Motorized butterfly valve (on/off, 24 Vac)</t>
        </is>
      </c>
      <c r="D14" t="n">
        <v>8</v>
      </c>
      <c r="E14" t="inlineStr">
        <is>
          <t>CDS-P1</t>
        </is>
      </c>
      <c r="F14" t="n">
        <v>150</v>
      </c>
      <c r="G14" t="n">
        <v>38850</v>
      </c>
      <c r="H14" t="n">
        <v>1600</v>
      </c>
      <c r="I14" t="n">
        <v>620</v>
      </c>
      <c r="J14" t="inlineStr">
        <is>
          <t>CDP01 suction</t>
        </is>
      </c>
      <c r="K14" t="inlineStr">
        <is>
          <t>Gfx_CDP01_SuctionMV_Pos</t>
        </is>
      </c>
    </row>
    <row r="15">
      <c r="A15" t="n">
        <v>14</v>
      </c>
      <c r="B15" t="inlineStr">
        <is>
          <t>STRAINER</t>
        </is>
      </c>
      <c r="C15" t="inlineStr">
        <is>
          <t>Y-strainer, 20 mesh</t>
        </is>
      </c>
      <c r="D15" t="n">
        <v>8</v>
      </c>
      <c r="E15" t="inlineStr">
        <is>
          <t>CDS-P1</t>
        </is>
      </c>
      <c r="F15" t="n">
        <v>420</v>
      </c>
      <c r="G15" t="n">
        <v>39080</v>
      </c>
      <c r="H15" t="n">
        <v>1600</v>
      </c>
      <c r="I15" t="n">
        <v>620</v>
      </c>
      <c r="J15" t="inlineStr"/>
      <c r="K15" t="inlineStr"/>
    </row>
    <row r="16">
      <c r="A16" t="n">
        <v>15</v>
      </c>
      <c r="B16" t="inlineStr">
        <is>
          <t>FLEX</t>
        </is>
      </c>
      <c r="C16" t="inlineStr">
        <is>
          <t>Flexible connector, EPDM double sphere</t>
        </is>
      </c>
      <c r="D16" t="n">
        <v>6</v>
      </c>
      <c r="E16" t="inlineStr">
        <is>
          <t>CDS-P1</t>
        </is>
      </c>
      <c r="F16" t="n">
        <v>-160</v>
      </c>
      <c r="G16" t="n">
        <v>38920</v>
      </c>
      <c r="H16" t="n">
        <v>1600</v>
      </c>
      <c r="I16" t="n">
        <v>620</v>
      </c>
      <c r="J16" t="inlineStr"/>
      <c r="K16" t="inlineStr"/>
    </row>
    <row r="17">
      <c r="A17" t="n">
        <v>16</v>
      </c>
      <c r="B17" t="inlineStr">
        <is>
          <t>FLEX</t>
        </is>
      </c>
      <c r="C17" t="inlineStr">
        <is>
          <t>Flexible connector, EPDM double sphere</t>
        </is>
      </c>
      <c r="D17" t="n">
        <v>8</v>
      </c>
      <c r="E17" t="inlineStr">
        <is>
          <t>CDS-D1</t>
        </is>
      </c>
      <c r="F17" t="n">
        <v>140</v>
      </c>
      <c r="G17" t="n">
        <v>39475</v>
      </c>
      <c r="H17" t="n">
        <v>1600</v>
      </c>
      <c r="I17" t="n">
        <v>1250</v>
      </c>
      <c r="J17" t="inlineStr"/>
      <c r="K17" t="inlineStr"/>
    </row>
    <row r="18">
      <c r="A18" t="n">
        <v>17</v>
      </c>
      <c r="B18" t="inlineStr">
        <is>
          <t>CHECK</t>
        </is>
      </c>
      <c r="C18" t="inlineStr">
        <is>
          <t>Check valve, silent / dual plate</t>
        </is>
      </c>
      <c r="D18" t="n">
        <v>8</v>
      </c>
      <c r="E18" t="inlineStr">
        <is>
          <t>CDS-D1</t>
        </is>
      </c>
      <c r="F18" t="n">
        <v>420</v>
      </c>
      <c r="G18" t="n">
        <v>39475</v>
      </c>
      <c r="H18" t="n">
        <v>1600</v>
      </c>
      <c r="I18" t="n">
        <v>1530</v>
      </c>
      <c r="J18" t="inlineStr"/>
      <c r="K18" t="inlineStr"/>
    </row>
    <row r="19">
      <c r="A19" t="n">
        <v>18</v>
      </c>
      <c r="B19" t="inlineStr">
        <is>
          <t>MBFV</t>
        </is>
      </c>
      <c r="C19" t="inlineStr">
        <is>
          <t>Motorized butterfly valve (on/off, 24 Vac)</t>
        </is>
      </c>
      <c r="D19" t="n">
        <v>8</v>
      </c>
      <c r="E19" t="inlineStr">
        <is>
          <t>CDS-D1</t>
        </is>
      </c>
      <c r="F19" t="n">
        <v>760</v>
      </c>
      <c r="G19" t="n">
        <v>39475</v>
      </c>
      <c r="H19" t="n">
        <v>1600</v>
      </c>
      <c r="I19" t="n">
        <v>1800</v>
      </c>
      <c r="J19" t="inlineStr">
        <is>
          <t>CDP01 discharge MV</t>
        </is>
      </c>
      <c r="K19" t="inlineStr">
        <is>
          <t>Gfx_CDP01_DischargeMV_Pos</t>
        </is>
      </c>
    </row>
    <row r="20">
      <c r="A20" t="n">
        <v>19</v>
      </c>
      <c r="B20" t="inlineStr">
        <is>
          <t>MBFV</t>
        </is>
      </c>
      <c r="C20" t="inlineStr">
        <is>
          <t>Motorized butterfly valve (on/off, 24 Vac)</t>
        </is>
      </c>
      <c r="D20" t="n">
        <v>8</v>
      </c>
      <c r="E20" t="inlineStr">
        <is>
          <t>CDS-P2</t>
        </is>
      </c>
      <c r="F20" t="n">
        <v>150</v>
      </c>
      <c r="G20" t="n">
        <v>38850</v>
      </c>
      <c r="H20" t="n">
        <v>3600</v>
      </c>
      <c r="I20" t="n">
        <v>620</v>
      </c>
      <c r="J20" t="inlineStr">
        <is>
          <t>CDP02 suction</t>
        </is>
      </c>
      <c r="K20" t="inlineStr">
        <is>
          <t>Gfx_CDP02_SuctionMV_Pos</t>
        </is>
      </c>
    </row>
    <row r="21">
      <c r="A21" t="n">
        <v>20</v>
      </c>
      <c r="B21" t="inlineStr">
        <is>
          <t>STRAINER</t>
        </is>
      </c>
      <c r="C21" t="inlineStr">
        <is>
          <t>Y-strainer, 20 mesh</t>
        </is>
      </c>
      <c r="D21" t="n">
        <v>8</v>
      </c>
      <c r="E21" t="inlineStr">
        <is>
          <t>CDS-P2</t>
        </is>
      </c>
      <c r="F21" t="n">
        <v>420</v>
      </c>
      <c r="G21" t="n">
        <v>39080</v>
      </c>
      <c r="H21" t="n">
        <v>3600</v>
      </c>
      <c r="I21" t="n">
        <v>620</v>
      </c>
      <c r="J21" t="inlineStr"/>
      <c r="K21" t="inlineStr"/>
    </row>
    <row r="22">
      <c r="A22" t="n">
        <v>21</v>
      </c>
      <c r="B22" t="inlineStr">
        <is>
          <t>FLEX</t>
        </is>
      </c>
      <c r="C22" t="inlineStr">
        <is>
          <t>Flexible connector, EPDM double sphere</t>
        </is>
      </c>
      <c r="D22" t="n">
        <v>6</v>
      </c>
      <c r="E22" t="inlineStr">
        <is>
          <t>CDS-P2</t>
        </is>
      </c>
      <c r="F22" t="n">
        <v>-160</v>
      </c>
      <c r="G22" t="n">
        <v>38920</v>
      </c>
      <c r="H22" t="n">
        <v>3600</v>
      </c>
      <c r="I22" t="n">
        <v>620</v>
      </c>
      <c r="J22" t="inlineStr"/>
      <c r="K22" t="inlineStr"/>
    </row>
    <row r="23">
      <c r="A23" t="n">
        <v>22</v>
      </c>
      <c r="B23" t="inlineStr">
        <is>
          <t>FLEX</t>
        </is>
      </c>
      <c r="C23" t="inlineStr">
        <is>
          <t>Flexible connector, EPDM double sphere</t>
        </is>
      </c>
      <c r="D23" t="n">
        <v>8</v>
      </c>
      <c r="E23" t="inlineStr">
        <is>
          <t>CDS-D2</t>
        </is>
      </c>
      <c r="F23" t="n">
        <v>140</v>
      </c>
      <c r="G23" t="n">
        <v>39475</v>
      </c>
      <c r="H23" t="n">
        <v>3600</v>
      </c>
      <c r="I23" t="n">
        <v>1250</v>
      </c>
      <c r="J23" t="inlineStr"/>
      <c r="K23" t="inlineStr"/>
    </row>
    <row r="24">
      <c r="A24" t="n">
        <v>23</v>
      </c>
      <c r="B24" t="inlineStr">
        <is>
          <t>CHECK</t>
        </is>
      </c>
      <c r="C24" t="inlineStr">
        <is>
          <t>Check valve, silent / dual plate</t>
        </is>
      </c>
      <c r="D24" t="n">
        <v>8</v>
      </c>
      <c r="E24" t="inlineStr">
        <is>
          <t>CDS-D2</t>
        </is>
      </c>
      <c r="F24" t="n">
        <v>420</v>
      </c>
      <c r="G24" t="n">
        <v>39475</v>
      </c>
      <c r="H24" t="n">
        <v>3600</v>
      </c>
      <c r="I24" t="n">
        <v>1530</v>
      </c>
      <c r="J24" t="inlineStr"/>
      <c r="K24" t="inlineStr"/>
    </row>
    <row r="25">
      <c r="A25" t="n">
        <v>24</v>
      </c>
      <c r="B25" t="inlineStr">
        <is>
          <t>MBFV</t>
        </is>
      </c>
      <c r="C25" t="inlineStr">
        <is>
          <t>Motorized butterfly valve (on/off, 24 Vac)</t>
        </is>
      </c>
      <c r="D25" t="n">
        <v>8</v>
      </c>
      <c r="E25" t="inlineStr">
        <is>
          <t>CDS-D2</t>
        </is>
      </c>
      <c r="F25" t="n">
        <v>760</v>
      </c>
      <c r="G25" t="n">
        <v>39475</v>
      </c>
      <c r="H25" t="n">
        <v>3600</v>
      </c>
      <c r="I25" t="n">
        <v>1800</v>
      </c>
      <c r="J25" t="inlineStr">
        <is>
          <t>CDP02 discharge MV</t>
        </is>
      </c>
      <c r="K25" t="inlineStr">
        <is>
          <t>Gfx_CDP02_DischargeMV_Pos</t>
        </is>
      </c>
    </row>
    <row r="26">
      <c r="A26" t="n">
        <v>25</v>
      </c>
      <c r="B26" t="inlineStr">
        <is>
          <t>BFV</t>
        </is>
      </c>
      <c r="C26" t="inlineStr">
        <is>
          <t>Butterfly valve, lug type, PN16</t>
        </is>
      </c>
      <c r="D26" t="n">
        <v>8</v>
      </c>
      <c r="E26" t="inlineStr">
        <is>
          <t>CHR-E1</t>
        </is>
      </c>
      <c r="F26" t="n">
        <v>400</v>
      </c>
      <c r="G26" t="n">
        <v>4430</v>
      </c>
      <c r="H26" t="n">
        <v>8400</v>
      </c>
      <c r="I26" t="n">
        <v>2200</v>
      </c>
      <c r="J26" t="inlineStr"/>
      <c r="K26" t="inlineStr"/>
    </row>
    <row r="27">
      <c r="A27" t="n">
        <v>26</v>
      </c>
      <c r="B27" t="inlineStr">
        <is>
          <t>MBFV</t>
        </is>
      </c>
      <c r="C27" t="inlineStr">
        <is>
          <t>Motorized butterfly valve (on/off, 24 Vac)</t>
        </is>
      </c>
      <c r="D27" t="n">
        <v>8</v>
      </c>
      <c r="E27" t="inlineStr">
        <is>
          <t>CHR-E1</t>
        </is>
      </c>
      <c r="F27" t="n">
        <v>-260</v>
      </c>
      <c r="G27" t="n">
        <v>4430</v>
      </c>
      <c r="H27" t="n">
        <v>8553</v>
      </c>
      <c r="I27" t="n">
        <v>1180</v>
      </c>
      <c r="J27" t="inlineStr">
        <is>
          <t>CH01 CHW isolation</t>
        </is>
      </c>
      <c r="K27" t="inlineStr">
        <is>
          <t>Gfx_CH01_ChwIso_Pos</t>
        </is>
      </c>
    </row>
    <row r="28">
      <c r="A28" t="n">
        <v>27</v>
      </c>
      <c r="B28" t="inlineStr">
        <is>
          <t>FLEX</t>
        </is>
      </c>
      <c r="C28" t="inlineStr">
        <is>
          <t>Flexible connector, EPDM double sphere</t>
        </is>
      </c>
      <c r="D28" t="n">
        <v>8</v>
      </c>
      <c r="E28" t="inlineStr">
        <is>
          <t>CHR-E1</t>
        </is>
      </c>
      <c r="F28" t="n">
        <v>-120</v>
      </c>
      <c r="G28" t="n">
        <v>4430</v>
      </c>
      <c r="H28" t="n">
        <v>8693</v>
      </c>
      <c r="I28" t="n">
        <v>1180</v>
      </c>
      <c r="J28" t="inlineStr"/>
      <c r="K28" t="inlineStr"/>
    </row>
    <row r="29">
      <c r="A29" t="n">
        <v>28</v>
      </c>
      <c r="B29" t="inlineStr">
        <is>
          <t>FLEX</t>
        </is>
      </c>
      <c r="C29" t="inlineStr">
        <is>
          <t>Flexible connector, EPDM double sphere</t>
        </is>
      </c>
      <c r="D29" t="n">
        <v>8</v>
      </c>
      <c r="E29" t="inlineStr">
        <is>
          <t>CHS-E1</t>
        </is>
      </c>
      <c r="F29" t="n">
        <v>150</v>
      </c>
      <c r="G29" t="n">
        <v>3930</v>
      </c>
      <c r="H29" t="n">
        <v>8663</v>
      </c>
      <c r="I29" t="n">
        <v>1180</v>
      </c>
      <c r="J29" t="inlineStr"/>
      <c r="K29" t="inlineStr"/>
    </row>
    <row r="30">
      <c r="A30" t="n">
        <v>29</v>
      </c>
      <c r="B30" t="inlineStr">
        <is>
          <t>TT</t>
        </is>
      </c>
      <c r="C30" t="inlineStr">
        <is>
          <t>Temperature sensor 10k thermistor in well + thermometer</t>
        </is>
      </c>
      <c r="D30" t="n">
        <v>8</v>
      </c>
      <c r="E30" t="inlineStr">
        <is>
          <t>CHS-E1</t>
        </is>
      </c>
      <c r="F30" t="n">
        <v>330</v>
      </c>
      <c r="G30" t="n">
        <v>3930</v>
      </c>
      <c r="H30" t="n">
        <v>8483</v>
      </c>
      <c r="I30" t="n">
        <v>1180</v>
      </c>
      <c r="J30" t="inlineStr"/>
      <c r="K30" t="inlineStr">
        <is>
          <t>CH01_ChwSupplyTemp</t>
        </is>
      </c>
    </row>
    <row r="31">
      <c r="A31" t="n">
        <v>30</v>
      </c>
      <c r="B31" t="inlineStr">
        <is>
          <t>FS</t>
        </is>
      </c>
      <c r="C31" t="inlineStr">
        <is>
          <t>Paddle flow switch</t>
        </is>
      </c>
      <c r="D31" t="n">
        <v>8</v>
      </c>
      <c r="E31" t="inlineStr">
        <is>
          <t>CHS-E1</t>
        </is>
      </c>
      <c r="F31" t="n">
        <v>520</v>
      </c>
      <c r="G31" t="n">
        <v>3930</v>
      </c>
      <c r="H31" t="n">
        <v>8293</v>
      </c>
      <c r="I31" t="n">
        <v>1180</v>
      </c>
      <c r="J31" t="inlineStr">
        <is>
          <t>CH01 evaporator flow switch</t>
        </is>
      </c>
      <c r="K31" t="inlineStr"/>
    </row>
    <row r="32">
      <c r="A32" t="n">
        <v>31</v>
      </c>
      <c r="B32" t="inlineStr">
        <is>
          <t>MCV</t>
        </is>
      </c>
      <c r="C32" t="inlineStr">
        <is>
          <t>Motorized control valve (modulating 0-10 V, position feedback)</t>
        </is>
      </c>
      <c r="D32" t="n">
        <v>8</v>
      </c>
      <c r="E32" t="inlineStr">
        <is>
          <t>CHS-E1</t>
        </is>
      </c>
      <c r="F32" t="n">
        <v>900</v>
      </c>
      <c r="G32" t="n">
        <v>3930</v>
      </c>
      <c r="H32" t="n">
        <v>7913</v>
      </c>
      <c r="I32" t="n">
        <v>1180</v>
      </c>
      <c r="J32" t="inlineStr">
        <is>
          <t>CH01 CHW flow control</t>
        </is>
      </c>
      <c r="K32" t="inlineStr">
        <is>
          <t>Gfx_CH01_ChwFCV_Pos</t>
        </is>
      </c>
    </row>
    <row r="33">
      <c r="A33" t="n">
        <v>32</v>
      </c>
      <c r="B33" t="inlineStr">
        <is>
          <t>BFV</t>
        </is>
      </c>
      <c r="C33" t="inlineStr">
        <is>
          <t>Butterfly valve, lug type, PN16</t>
        </is>
      </c>
      <c r="D33" t="n">
        <v>8</v>
      </c>
      <c r="E33" t="inlineStr">
        <is>
          <t>CDS-C1</t>
        </is>
      </c>
      <c r="F33" t="n">
        <v>400</v>
      </c>
      <c r="G33" t="n">
        <v>3580</v>
      </c>
      <c r="H33" t="n">
        <v>7100</v>
      </c>
      <c r="I33" t="n">
        <v>1400</v>
      </c>
      <c r="J33" t="inlineStr"/>
      <c r="K33" t="inlineStr"/>
    </row>
    <row r="34">
      <c r="A34" t="n">
        <v>33</v>
      </c>
      <c r="B34" t="inlineStr">
        <is>
          <t>MBFV</t>
        </is>
      </c>
      <c r="C34" t="inlineStr">
        <is>
          <t>Motorized butterfly valve (on/off, 24 Vac)</t>
        </is>
      </c>
      <c r="D34" t="n">
        <v>8</v>
      </c>
      <c r="E34" t="inlineStr">
        <is>
          <t>CDS-C1</t>
        </is>
      </c>
      <c r="F34" t="n">
        <v>-260</v>
      </c>
      <c r="G34" t="n">
        <v>3580</v>
      </c>
      <c r="H34" t="n">
        <v>8553</v>
      </c>
      <c r="I34" t="n">
        <v>720</v>
      </c>
      <c r="J34" t="inlineStr">
        <is>
          <t>CH01 CDW isolation</t>
        </is>
      </c>
      <c r="K34" t="inlineStr">
        <is>
          <t>Gfx_CH01_CdwIso_Pos</t>
        </is>
      </c>
    </row>
    <row r="35">
      <c r="A35" t="n">
        <v>34</v>
      </c>
      <c r="B35" t="inlineStr">
        <is>
          <t>FLEX</t>
        </is>
      </c>
      <c r="C35" t="inlineStr">
        <is>
          <t>Flexible connector, EPDM double sphere</t>
        </is>
      </c>
      <c r="D35" t="n">
        <v>8</v>
      </c>
      <c r="E35" t="inlineStr">
        <is>
          <t>CDS-C1</t>
        </is>
      </c>
      <c r="F35" t="n">
        <v>-120</v>
      </c>
      <c r="G35" t="n">
        <v>3580</v>
      </c>
      <c r="H35" t="n">
        <v>8693</v>
      </c>
      <c r="I35" t="n">
        <v>720</v>
      </c>
      <c r="J35" t="inlineStr"/>
      <c r="K35" t="inlineStr"/>
    </row>
    <row r="36">
      <c r="A36" t="n">
        <v>35</v>
      </c>
      <c r="B36" t="inlineStr">
        <is>
          <t>FLEX</t>
        </is>
      </c>
      <c r="C36" t="inlineStr">
        <is>
          <t>Flexible connector, EPDM double sphere</t>
        </is>
      </c>
      <c r="D36" t="n">
        <v>8</v>
      </c>
      <c r="E36" t="inlineStr">
        <is>
          <t>CDR-C1</t>
        </is>
      </c>
      <c r="F36" t="n">
        <v>150</v>
      </c>
      <c r="G36" t="n">
        <v>3980</v>
      </c>
      <c r="H36" t="n">
        <v>8663</v>
      </c>
      <c r="I36" t="n">
        <v>720</v>
      </c>
      <c r="J36" t="inlineStr"/>
      <c r="K36" t="inlineStr"/>
    </row>
    <row r="37">
      <c r="A37" t="n">
        <v>36</v>
      </c>
      <c r="B37" t="inlineStr">
        <is>
          <t>FS</t>
        </is>
      </c>
      <c r="C37" t="inlineStr">
        <is>
          <t>Paddle flow switch</t>
        </is>
      </c>
      <c r="D37" t="n">
        <v>8</v>
      </c>
      <c r="E37" t="inlineStr">
        <is>
          <t>CDR-C1</t>
        </is>
      </c>
      <c r="F37" t="n">
        <v>520</v>
      </c>
      <c r="G37" t="n">
        <v>3980</v>
      </c>
      <c r="H37" t="n">
        <v>8293</v>
      </c>
      <c r="I37" t="n">
        <v>720</v>
      </c>
      <c r="J37" t="inlineStr">
        <is>
          <t>CH01 condenser flow switch</t>
        </is>
      </c>
      <c r="K37" t="inlineStr"/>
    </row>
    <row r="38">
      <c r="A38" t="n">
        <v>37</v>
      </c>
      <c r="B38" t="inlineStr">
        <is>
          <t>MCV</t>
        </is>
      </c>
      <c r="C38" t="inlineStr">
        <is>
          <t>Motorized control valve (modulating 0-10 V, position feedback)</t>
        </is>
      </c>
      <c r="D38" t="n">
        <v>8</v>
      </c>
      <c r="E38" t="inlineStr">
        <is>
          <t>CDR-C1</t>
        </is>
      </c>
      <c r="F38" t="n">
        <v>1000</v>
      </c>
      <c r="G38" t="n">
        <v>3980</v>
      </c>
      <c r="H38" t="n">
        <v>7813</v>
      </c>
      <c r="I38" t="n">
        <v>720</v>
      </c>
      <c r="J38" t="inlineStr">
        <is>
          <t>CH01 head-pressure valve</t>
        </is>
      </c>
      <c r="K38" t="inlineStr">
        <is>
          <t>Gfx_CH01_CdwHPV_Pos</t>
        </is>
      </c>
    </row>
    <row r="39">
      <c r="A39" t="n">
        <v>38</v>
      </c>
      <c r="B39" t="inlineStr">
        <is>
          <t>BFV</t>
        </is>
      </c>
      <c r="C39" t="inlineStr">
        <is>
          <t>Butterfly valve, lug type, PN16</t>
        </is>
      </c>
      <c r="D39" t="n">
        <v>8</v>
      </c>
      <c r="E39" t="inlineStr">
        <is>
          <t>CHR-E2</t>
        </is>
      </c>
      <c r="F39" t="n">
        <v>400</v>
      </c>
      <c r="G39" t="n">
        <v>9430</v>
      </c>
      <c r="H39" t="n">
        <v>8400</v>
      </c>
      <c r="I39" t="n">
        <v>2200</v>
      </c>
      <c r="J39" t="inlineStr"/>
      <c r="K39" t="inlineStr"/>
    </row>
    <row r="40">
      <c r="A40" t="n">
        <v>39</v>
      </c>
      <c r="B40" t="inlineStr">
        <is>
          <t>MBFV</t>
        </is>
      </c>
      <c r="C40" t="inlineStr">
        <is>
          <t>Motorized butterfly valve (on/off, 24 Vac)</t>
        </is>
      </c>
      <c r="D40" t="n">
        <v>8</v>
      </c>
      <c r="E40" t="inlineStr">
        <is>
          <t>CHR-E2</t>
        </is>
      </c>
      <c r="F40" t="n">
        <v>-260</v>
      </c>
      <c r="G40" t="n">
        <v>9430</v>
      </c>
      <c r="H40" t="n">
        <v>8553</v>
      </c>
      <c r="I40" t="n">
        <v>1180</v>
      </c>
      <c r="J40" t="inlineStr">
        <is>
          <t>CH02 CHW isolation</t>
        </is>
      </c>
      <c r="K40" t="inlineStr">
        <is>
          <t>Gfx_CH02_ChwIso_Pos</t>
        </is>
      </c>
    </row>
    <row r="41">
      <c r="A41" t="n">
        <v>40</v>
      </c>
      <c r="B41" t="inlineStr">
        <is>
          <t>FLEX</t>
        </is>
      </c>
      <c r="C41" t="inlineStr">
        <is>
          <t>Flexible connector, EPDM double sphere</t>
        </is>
      </c>
      <c r="D41" t="n">
        <v>8</v>
      </c>
      <c r="E41" t="inlineStr">
        <is>
          <t>CHR-E2</t>
        </is>
      </c>
      <c r="F41" t="n">
        <v>-120</v>
      </c>
      <c r="G41" t="n">
        <v>9430</v>
      </c>
      <c r="H41" t="n">
        <v>8693</v>
      </c>
      <c r="I41" t="n">
        <v>1180</v>
      </c>
      <c r="J41" t="inlineStr"/>
      <c r="K41" t="inlineStr"/>
    </row>
    <row r="42">
      <c r="A42" t="n">
        <v>41</v>
      </c>
      <c r="B42" t="inlineStr">
        <is>
          <t>FLEX</t>
        </is>
      </c>
      <c r="C42" t="inlineStr">
        <is>
          <t>Flexible connector, EPDM double sphere</t>
        </is>
      </c>
      <c r="D42" t="n">
        <v>8</v>
      </c>
      <c r="E42" t="inlineStr">
        <is>
          <t>CHS-E2</t>
        </is>
      </c>
      <c r="F42" t="n">
        <v>150</v>
      </c>
      <c r="G42" t="n">
        <v>8930</v>
      </c>
      <c r="H42" t="n">
        <v>8663</v>
      </c>
      <c r="I42" t="n">
        <v>1180</v>
      </c>
      <c r="J42" t="inlineStr"/>
      <c r="K42" t="inlineStr"/>
    </row>
    <row r="43">
      <c r="A43" t="n">
        <v>42</v>
      </c>
      <c r="B43" t="inlineStr">
        <is>
          <t>TT</t>
        </is>
      </c>
      <c r="C43" t="inlineStr">
        <is>
          <t>Temperature sensor 10k thermistor in well + thermometer</t>
        </is>
      </c>
      <c r="D43" t="n">
        <v>8</v>
      </c>
      <c r="E43" t="inlineStr">
        <is>
          <t>CHS-E2</t>
        </is>
      </c>
      <c r="F43" t="n">
        <v>330</v>
      </c>
      <c r="G43" t="n">
        <v>8930</v>
      </c>
      <c r="H43" t="n">
        <v>8483</v>
      </c>
      <c r="I43" t="n">
        <v>1180</v>
      </c>
      <c r="J43" t="inlineStr"/>
      <c r="K43" t="inlineStr">
        <is>
          <t>CH02_ChwSupplyTemp</t>
        </is>
      </c>
    </row>
    <row r="44">
      <c r="A44" t="n">
        <v>43</v>
      </c>
      <c r="B44" t="inlineStr">
        <is>
          <t>FS</t>
        </is>
      </c>
      <c r="C44" t="inlineStr">
        <is>
          <t>Paddle flow switch</t>
        </is>
      </c>
      <c r="D44" t="n">
        <v>8</v>
      </c>
      <c r="E44" t="inlineStr">
        <is>
          <t>CHS-E2</t>
        </is>
      </c>
      <c r="F44" t="n">
        <v>520</v>
      </c>
      <c r="G44" t="n">
        <v>8930</v>
      </c>
      <c r="H44" t="n">
        <v>8293</v>
      </c>
      <c r="I44" t="n">
        <v>1180</v>
      </c>
      <c r="J44" t="inlineStr">
        <is>
          <t>CH02 evaporator flow switch</t>
        </is>
      </c>
      <c r="K44" t="inlineStr"/>
    </row>
    <row r="45">
      <c r="A45" t="n">
        <v>44</v>
      </c>
      <c r="B45" t="inlineStr">
        <is>
          <t>MCV</t>
        </is>
      </c>
      <c r="C45" t="inlineStr">
        <is>
          <t>Motorized control valve (modulating 0-10 V, position feedback)</t>
        </is>
      </c>
      <c r="D45" t="n">
        <v>8</v>
      </c>
      <c r="E45" t="inlineStr">
        <is>
          <t>CHS-E2</t>
        </is>
      </c>
      <c r="F45" t="n">
        <v>900</v>
      </c>
      <c r="G45" t="n">
        <v>8930</v>
      </c>
      <c r="H45" t="n">
        <v>7913</v>
      </c>
      <c r="I45" t="n">
        <v>1180</v>
      </c>
      <c r="J45" t="inlineStr">
        <is>
          <t>CH02 CHW flow control</t>
        </is>
      </c>
      <c r="K45" t="inlineStr">
        <is>
          <t>Gfx_CH02_ChwFCV_Pos</t>
        </is>
      </c>
    </row>
    <row r="46">
      <c r="A46" t="n">
        <v>45</v>
      </c>
      <c r="B46" t="inlineStr">
        <is>
          <t>BFV</t>
        </is>
      </c>
      <c r="C46" t="inlineStr">
        <is>
          <t>Butterfly valve, lug type, PN16</t>
        </is>
      </c>
      <c r="D46" t="n">
        <v>8</v>
      </c>
      <c r="E46" t="inlineStr">
        <is>
          <t>CDS-C2</t>
        </is>
      </c>
      <c r="F46" t="n">
        <v>400</v>
      </c>
      <c r="G46" t="n">
        <v>8580</v>
      </c>
      <c r="H46" t="n">
        <v>7100</v>
      </c>
      <c r="I46" t="n">
        <v>1400</v>
      </c>
      <c r="J46" t="inlineStr"/>
      <c r="K46" t="inlineStr"/>
    </row>
    <row r="47">
      <c r="A47" t="n">
        <v>46</v>
      </c>
      <c r="B47" t="inlineStr">
        <is>
          <t>MBFV</t>
        </is>
      </c>
      <c r="C47" t="inlineStr">
        <is>
          <t>Motorized butterfly valve (on/off, 24 Vac)</t>
        </is>
      </c>
      <c r="D47" t="n">
        <v>8</v>
      </c>
      <c r="E47" t="inlineStr">
        <is>
          <t>CDS-C2</t>
        </is>
      </c>
      <c r="F47" t="n">
        <v>-260</v>
      </c>
      <c r="G47" t="n">
        <v>8580</v>
      </c>
      <c r="H47" t="n">
        <v>8553</v>
      </c>
      <c r="I47" t="n">
        <v>720</v>
      </c>
      <c r="J47" t="inlineStr">
        <is>
          <t>CH02 CDW isolation</t>
        </is>
      </c>
      <c r="K47" t="inlineStr">
        <is>
          <t>Gfx_CH02_CdwIso_Pos</t>
        </is>
      </c>
    </row>
    <row r="48">
      <c r="A48" t="n">
        <v>47</v>
      </c>
      <c r="B48" t="inlineStr">
        <is>
          <t>FLEX</t>
        </is>
      </c>
      <c r="C48" t="inlineStr">
        <is>
          <t>Flexible connector, EPDM double sphere</t>
        </is>
      </c>
      <c r="D48" t="n">
        <v>8</v>
      </c>
      <c r="E48" t="inlineStr">
        <is>
          <t>CDS-C2</t>
        </is>
      </c>
      <c r="F48" t="n">
        <v>-120</v>
      </c>
      <c r="G48" t="n">
        <v>8580</v>
      </c>
      <c r="H48" t="n">
        <v>8693</v>
      </c>
      <c r="I48" t="n">
        <v>720</v>
      </c>
      <c r="J48" t="inlineStr"/>
      <c r="K48" t="inlineStr"/>
    </row>
    <row r="49">
      <c r="A49" t="n">
        <v>48</v>
      </c>
      <c r="B49" t="inlineStr">
        <is>
          <t>FLEX</t>
        </is>
      </c>
      <c r="C49" t="inlineStr">
        <is>
          <t>Flexible connector, EPDM double sphere</t>
        </is>
      </c>
      <c r="D49" t="n">
        <v>8</v>
      </c>
      <c r="E49" t="inlineStr">
        <is>
          <t>CDR-C2</t>
        </is>
      </c>
      <c r="F49" t="n">
        <v>150</v>
      </c>
      <c r="G49" t="n">
        <v>8980</v>
      </c>
      <c r="H49" t="n">
        <v>8663</v>
      </c>
      <c r="I49" t="n">
        <v>720</v>
      </c>
      <c r="J49" t="inlineStr"/>
      <c r="K49" t="inlineStr"/>
    </row>
    <row r="50">
      <c r="A50" t="n">
        <v>49</v>
      </c>
      <c r="B50" t="inlineStr">
        <is>
          <t>FS</t>
        </is>
      </c>
      <c r="C50" t="inlineStr">
        <is>
          <t>Paddle flow switch</t>
        </is>
      </c>
      <c r="D50" t="n">
        <v>8</v>
      </c>
      <c r="E50" t="inlineStr">
        <is>
          <t>CDR-C2</t>
        </is>
      </c>
      <c r="F50" t="n">
        <v>520</v>
      </c>
      <c r="G50" t="n">
        <v>8980</v>
      </c>
      <c r="H50" t="n">
        <v>8293</v>
      </c>
      <c r="I50" t="n">
        <v>720</v>
      </c>
      <c r="J50" t="inlineStr">
        <is>
          <t>CH02 condenser flow switch</t>
        </is>
      </c>
      <c r="K50" t="inlineStr"/>
    </row>
    <row r="51">
      <c r="A51" t="n">
        <v>50</v>
      </c>
      <c r="B51" t="inlineStr">
        <is>
          <t>MCV</t>
        </is>
      </c>
      <c r="C51" t="inlineStr">
        <is>
          <t>Motorized control valve (modulating 0-10 V, position feedback)</t>
        </is>
      </c>
      <c r="D51" t="n">
        <v>8</v>
      </c>
      <c r="E51" t="inlineStr">
        <is>
          <t>CDR-C2</t>
        </is>
      </c>
      <c r="F51" t="n">
        <v>1000</v>
      </c>
      <c r="G51" t="n">
        <v>8980</v>
      </c>
      <c r="H51" t="n">
        <v>7813</v>
      </c>
      <c r="I51" t="n">
        <v>720</v>
      </c>
      <c r="J51" t="inlineStr">
        <is>
          <t>CH02 head-pressure valve</t>
        </is>
      </c>
      <c r="K51" t="inlineStr">
        <is>
          <t>Gfx_CH02_CdwHPV_Pos</t>
        </is>
      </c>
    </row>
    <row r="52">
      <c r="A52" t="n">
        <v>51</v>
      </c>
      <c r="B52" t="inlineStr">
        <is>
          <t>BFV</t>
        </is>
      </c>
      <c r="C52" t="inlineStr">
        <is>
          <t>Butterfly valve, lug type, PN16</t>
        </is>
      </c>
      <c r="D52" t="n">
        <v>8</v>
      </c>
      <c r="E52" t="inlineStr">
        <is>
          <t>CDR-T1</t>
        </is>
      </c>
      <c r="F52" t="n">
        <v>400</v>
      </c>
      <c r="G52" t="n">
        <v>4000</v>
      </c>
      <c r="H52" t="n">
        <v>8200</v>
      </c>
      <c r="I52" t="n">
        <v>36450</v>
      </c>
      <c r="J52" t="inlineStr"/>
      <c r="K52" t="inlineStr"/>
    </row>
    <row r="53">
      <c r="A53" t="n">
        <v>52</v>
      </c>
      <c r="B53" t="inlineStr">
        <is>
          <t>MBFV</t>
        </is>
      </c>
      <c r="C53" t="inlineStr">
        <is>
          <t>Motorized butterfly valve (on/off, 24 Vac)</t>
        </is>
      </c>
      <c r="D53" t="n">
        <v>8</v>
      </c>
      <c r="E53" t="inlineStr">
        <is>
          <t>CDR-T1</t>
        </is>
      </c>
      <c r="F53" t="n">
        <v>900</v>
      </c>
      <c r="G53" t="n">
        <v>4000</v>
      </c>
      <c r="H53" t="n">
        <v>8200</v>
      </c>
      <c r="I53" t="n">
        <v>36950</v>
      </c>
      <c r="J53" t="inlineStr">
        <is>
          <t>CT01 inlet</t>
        </is>
      </c>
      <c r="K53" t="inlineStr">
        <is>
          <t>Gfx_CT01_InletMV_Pos</t>
        </is>
      </c>
    </row>
    <row r="54">
      <c r="A54" t="n">
        <v>53</v>
      </c>
      <c r="B54" t="inlineStr">
        <is>
          <t>MBFV</t>
        </is>
      </c>
      <c r="C54" t="inlineStr">
        <is>
          <t>Motorized butterfly valve (on/off, 24 Vac)</t>
        </is>
      </c>
      <c r="D54" t="n">
        <v>8</v>
      </c>
      <c r="E54" t="inlineStr">
        <is>
          <t>CDS-T1</t>
        </is>
      </c>
      <c r="F54" t="n">
        <v>250</v>
      </c>
      <c r="G54" t="n">
        <v>3300</v>
      </c>
      <c r="H54" t="n">
        <v>4450</v>
      </c>
      <c r="I54" t="n">
        <v>36100</v>
      </c>
      <c r="J54" t="inlineStr">
        <is>
          <t>CT01 outlet</t>
        </is>
      </c>
      <c r="K54" t="inlineStr">
        <is>
          <t>Gfx_CT01_OutletMV_Pos</t>
        </is>
      </c>
    </row>
    <row r="55">
      <c r="A55" t="n">
        <v>54</v>
      </c>
      <c r="B55" t="inlineStr">
        <is>
          <t>BFV</t>
        </is>
      </c>
      <c r="C55" t="inlineStr">
        <is>
          <t>Butterfly valve, lug type, PN16</t>
        </is>
      </c>
      <c r="D55" t="n">
        <v>8</v>
      </c>
      <c r="E55" t="inlineStr">
        <is>
          <t>CDS-T1</t>
        </is>
      </c>
      <c r="F55" t="n">
        <v>700</v>
      </c>
      <c r="G55" t="n">
        <v>3300</v>
      </c>
      <c r="H55" t="n">
        <v>4000</v>
      </c>
      <c r="I55" t="n">
        <v>36100</v>
      </c>
      <c r="J55" t="inlineStr"/>
      <c r="K55" t="inlineStr"/>
    </row>
    <row r="56">
      <c r="A56" t="n">
        <v>55</v>
      </c>
      <c r="B56" t="inlineStr">
        <is>
          <t>BFV</t>
        </is>
      </c>
      <c r="C56" t="inlineStr">
        <is>
          <t>Butterfly valve, lug type, PN16</t>
        </is>
      </c>
      <c r="D56" t="n">
        <v>8</v>
      </c>
      <c r="E56" t="inlineStr">
        <is>
          <t>CDR-T2</t>
        </is>
      </c>
      <c r="F56" t="n">
        <v>400</v>
      </c>
      <c r="G56" t="n">
        <v>6800</v>
      </c>
      <c r="H56" t="n">
        <v>8200</v>
      </c>
      <c r="I56" t="n">
        <v>36450</v>
      </c>
      <c r="J56" t="inlineStr"/>
      <c r="K56" t="inlineStr"/>
    </row>
    <row r="57">
      <c r="A57" t="n">
        <v>56</v>
      </c>
      <c r="B57" t="inlineStr">
        <is>
          <t>MBFV</t>
        </is>
      </c>
      <c r="C57" t="inlineStr">
        <is>
          <t>Motorized butterfly valve (on/off, 24 Vac)</t>
        </is>
      </c>
      <c r="D57" t="n">
        <v>8</v>
      </c>
      <c r="E57" t="inlineStr">
        <is>
          <t>CDR-T2</t>
        </is>
      </c>
      <c r="F57" t="n">
        <v>900</v>
      </c>
      <c r="G57" t="n">
        <v>6800</v>
      </c>
      <c r="H57" t="n">
        <v>8200</v>
      </c>
      <c r="I57" t="n">
        <v>36950</v>
      </c>
      <c r="J57" t="inlineStr">
        <is>
          <t>CT01 inlet</t>
        </is>
      </c>
      <c r="K57" t="inlineStr">
        <is>
          <t>Gfx_CT01_InletMV_Pos</t>
        </is>
      </c>
    </row>
    <row r="58">
      <c r="A58" t="n">
        <v>57</v>
      </c>
      <c r="B58" t="inlineStr">
        <is>
          <t>MBFV</t>
        </is>
      </c>
      <c r="C58" t="inlineStr">
        <is>
          <t>Motorized butterfly valve (on/off, 24 Vac)</t>
        </is>
      </c>
      <c r="D58" t="n">
        <v>8</v>
      </c>
      <c r="E58" t="inlineStr">
        <is>
          <t>CDS-T2</t>
        </is>
      </c>
      <c r="F58" t="n">
        <v>250</v>
      </c>
      <c r="G58" t="n">
        <v>6100</v>
      </c>
      <c r="H58" t="n">
        <v>4450</v>
      </c>
      <c r="I58" t="n">
        <v>36100</v>
      </c>
      <c r="J58" t="inlineStr">
        <is>
          <t>CT01 outlet</t>
        </is>
      </c>
      <c r="K58" t="inlineStr">
        <is>
          <t>Gfx_CT01_OutletMV_Pos</t>
        </is>
      </c>
    </row>
    <row r="59">
      <c r="A59" t="n">
        <v>58</v>
      </c>
      <c r="B59" t="inlineStr">
        <is>
          <t>BFV</t>
        </is>
      </c>
      <c r="C59" t="inlineStr">
        <is>
          <t>Butterfly valve, lug type, PN16</t>
        </is>
      </c>
      <c r="D59" t="n">
        <v>8</v>
      </c>
      <c r="E59" t="inlineStr">
        <is>
          <t>CDS-T2</t>
        </is>
      </c>
      <c r="F59" t="n">
        <v>700</v>
      </c>
      <c r="G59" t="n">
        <v>6100</v>
      </c>
      <c r="H59" t="n">
        <v>4000</v>
      </c>
      <c r="I59" t="n">
        <v>36100</v>
      </c>
      <c r="J59" t="inlineStr"/>
      <c r="K59" t="inlineStr"/>
    </row>
    <row r="60">
      <c r="A60" t="n">
        <v>59</v>
      </c>
      <c r="B60" t="inlineStr">
        <is>
          <t>BFV</t>
        </is>
      </c>
      <c r="C60" t="inlineStr">
        <is>
          <t>Butterfly valve, lug type, PN16</t>
        </is>
      </c>
      <c r="D60" t="n">
        <v>8</v>
      </c>
      <c r="E60" t="inlineStr">
        <is>
          <t>CDR-T3</t>
        </is>
      </c>
      <c r="F60" t="n">
        <v>400</v>
      </c>
      <c r="G60" t="n">
        <v>9600</v>
      </c>
      <c r="H60" t="n">
        <v>8200</v>
      </c>
      <c r="I60" t="n">
        <v>36450</v>
      </c>
      <c r="J60" t="inlineStr"/>
      <c r="K60" t="inlineStr"/>
    </row>
    <row r="61">
      <c r="A61" t="n">
        <v>60</v>
      </c>
      <c r="B61" t="inlineStr">
        <is>
          <t>MBFV</t>
        </is>
      </c>
      <c r="C61" t="inlineStr">
        <is>
          <t>Motorized butterfly valve (on/off, 24 Vac)</t>
        </is>
      </c>
      <c r="D61" t="n">
        <v>8</v>
      </c>
      <c r="E61" t="inlineStr">
        <is>
          <t>CDR-T3</t>
        </is>
      </c>
      <c r="F61" t="n">
        <v>900</v>
      </c>
      <c r="G61" t="n">
        <v>9600</v>
      </c>
      <c r="H61" t="n">
        <v>8200</v>
      </c>
      <c r="I61" t="n">
        <v>36950</v>
      </c>
      <c r="J61" t="inlineStr">
        <is>
          <t>CT02 inlet</t>
        </is>
      </c>
      <c r="K61" t="inlineStr">
        <is>
          <t>Gfx_CT02_InletMV_Pos</t>
        </is>
      </c>
    </row>
    <row r="62">
      <c r="A62" t="n">
        <v>61</v>
      </c>
      <c r="B62" t="inlineStr">
        <is>
          <t>MBFV</t>
        </is>
      </c>
      <c r="C62" t="inlineStr">
        <is>
          <t>Motorized butterfly valve (on/off, 24 Vac)</t>
        </is>
      </c>
      <c r="D62" t="n">
        <v>8</v>
      </c>
      <c r="E62" t="inlineStr">
        <is>
          <t>CDS-T3</t>
        </is>
      </c>
      <c r="F62" t="n">
        <v>250</v>
      </c>
      <c r="G62" t="n">
        <v>8900</v>
      </c>
      <c r="H62" t="n">
        <v>4450</v>
      </c>
      <c r="I62" t="n">
        <v>36100</v>
      </c>
      <c r="J62" t="inlineStr">
        <is>
          <t>CT02 outlet</t>
        </is>
      </c>
      <c r="K62" t="inlineStr">
        <is>
          <t>Gfx_CT02_OutletMV_Pos</t>
        </is>
      </c>
    </row>
    <row r="63">
      <c r="A63" t="n">
        <v>62</v>
      </c>
      <c r="B63" t="inlineStr">
        <is>
          <t>BFV</t>
        </is>
      </c>
      <c r="C63" t="inlineStr">
        <is>
          <t>Butterfly valve, lug type, PN16</t>
        </is>
      </c>
      <c r="D63" t="n">
        <v>8</v>
      </c>
      <c r="E63" t="inlineStr">
        <is>
          <t>CDS-T3</t>
        </is>
      </c>
      <c r="F63" t="n">
        <v>700</v>
      </c>
      <c r="G63" t="n">
        <v>8900</v>
      </c>
      <c r="H63" t="n">
        <v>4000</v>
      </c>
      <c r="I63" t="n">
        <v>36100</v>
      </c>
      <c r="J63" t="inlineStr"/>
      <c r="K63" t="inlineStr"/>
    </row>
    <row r="64">
      <c r="A64" t="n">
        <v>63</v>
      </c>
      <c r="B64" t="inlineStr">
        <is>
          <t>BFV</t>
        </is>
      </c>
      <c r="C64" t="inlineStr">
        <is>
          <t>Butterfly valve, lug type, PN16</t>
        </is>
      </c>
      <c r="D64" t="n">
        <v>8</v>
      </c>
      <c r="E64" t="inlineStr">
        <is>
          <t>CDR-T4</t>
        </is>
      </c>
      <c r="F64" t="n">
        <v>400</v>
      </c>
      <c r="G64" t="n">
        <v>12400</v>
      </c>
      <c r="H64" t="n">
        <v>8200</v>
      </c>
      <c r="I64" t="n">
        <v>36450</v>
      </c>
      <c r="J64" t="inlineStr"/>
      <c r="K64" t="inlineStr"/>
    </row>
    <row r="65">
      <c r="A65" t="n">
        <v>64</v>
      </c>
      <c r="B65" t="inlineStr">
        <is>
          <t>MBFV</t>
        </is>
      </c>
      <c r="C65" t="inlineStr">
        <is>
          <t>Motorized butterfly valve (on/off, 24 Vac)</t>
        </is>
      </c>
      <c r="D65" t="n">
        <v>8</v>
      </c>
      <c r="E65" t="inlineStr">
        <is>
          <t>CDR-T4</t>
        </is>
      </c>
      <c r="F65" t="n">
        <v>900</v>
      </c>
      <c r="G65" t="n">
        <v>12400</v>
      </c>
      <c r="H65" t="n">
        <v>8200</v>
      </c>
      <c r="I65" t="n">
        <v>36950</v>
      </c>
      <c r="J65" t="inlineStr">
        <is>
          <t>CT02 inlet</t>
        </is>
      </c>
      <c r="K65" t="inlineStr">
        <is>
          <t>Gfx_CT02_InletMV_Pos</t>
        </is>
      </c>
    </row>
    <row r="66">
      <c r="A66" t="n">
        <v>65</v>
      </c>
      <c r="B66" t="inlineStr">
        <is>
          <t>MBFV</t>
        </is>
      </c>
      <c r="C66" t="inlineStr">
        <is>
          <t>Motorized butterfly valve (on/off, 24 Vac)</t>
        </is>
      </c>
      <c r="D66" t="n">
        <v>8</v>
      </c>
      <c r="E66" t="inlineStr">
        <is>
          <t>CDS-T4</t>
        </is>
      </c>
      <c r="F66" t="n">
        <v>250</v>
      </c>
      <c r="G66" t="n">
        <v>11700</v>
      </c>
      <c r="H66" t="n">
        <v>4450</v>
      </c>
      <c r="I66" t="n">
        <v>36100</v>
      </c>
      <c r="J66" t="inlineStr">
        <is>
          <t>CT02 outlet</t>
        </is>
      </c>
      <c r="K66" t="inlineStr">
        <is>
          <t>Gfx_CT02_OutletMV_Pos</t>
        </is>
      </c>
    </row>
    <row r="67">
      <c r="A67" t="n">
        <v>66</v>
      </c>
      <c r="B67" t="inlineStr">
        <is>
          <t>BFV</t>
        </is>
      </c>
      <c r="C67" t="inlineStr">
        <is>
          <t>Butterfly valve, lug type, PN16</t>
        </is>
      </c>
      <c r="D67" t="n">
        <v>8</v>
      </c>
      <c r="E67" t="inlineStr">
        <is>
          <t>CDS-T4</t>
        </is>
      </c>
      <c r="F67" t="n">
        <v>700</v>
      </c>
      <c r="G67" t="n">
        <v>11700</v>
      </c>
      <c r="H67" t="n">
        <v>4000</v>
      </c>
      <c r="I67" t="n">
        <v>36100</v>
      </c>
      <c r="J67" t="inlineStr"/>
      <c r="K67" t="inlineStr"/>
    </row>
    <row r="68">
      <c r="A68" t="n">
        <v>67</v>
      </c>
      <c r="B68" t="inlineStr">
        <is>
          <t>MCV</t>
        </is>
      </c>
      <c r="C68" t="inlineStr">
        <is>
          <t>Motorized control valve (modulating 0-10 V, position feedback)</t>
        </is>
      </c>
      <c r="D68" t="n">
        <v>4</v>
      </c>
      <c r="E68" t="inlineStr">
        <is>
          <t>CHS-F2</t>
        </is>
      </c>
      <c r="F68" t="n">
        <v>-300</v>
      </c>
      <c r="G68" t="n">
        <v>36400</v>
      </c>
      <c r="H68" t="n">
        <v>17500</v>
      </c>
      <c r="I68" t="n">
        <v>7300</v>
      </c>
      <c r="J68" t="inlineStr">
        <is>
          <t>AHU_F02 CHW valve</t>
        </is>
      </c>
      <c r="K68" t="inlineStr">
        <is>
          <t>AHU_F02_ValveCmd</t>
        </is>
      </c>
    </row>
    <row r="69">
      <c r="A69" t="n">
        <v>68</v>
      </c>
      <c r="B69" t="inlineStr">
        <is>
          <t>BFV</t>
        </is>
      </c>
      <c r="C69" t="inlineStr">
        <is>
          <t>Butterfly valve, lug type, PN16</t>
        </is>
      </c>
      <c r="D69" t="n">
        <v>4</v>
      </c>
      <c r="E69" t="inlineStr">
        <is>
          <t>CHR-F2</t>
        </is>
      </c>
      <c r="F69" t="n">
        <v>300</v>
      </c>
      <c r="G69" t="n">
        <v>33600</v>
      </c>
      <c r="H69" t="n">
        <v>17500</v>
      </c>
      <c r="I69" t="n">
        <v>6700</v>
      </c>
      <c r="J69" t="inlineStr"/>
      <c r="K69" t="inlineStr"/>
    </row>
    <row r="70">
      <c r="A70" t="n">
        <v>69</v>
      </c>
      <c r="B70" t="inlineStr">
        <is>
          <t>MCV</t>
        </is>
      </c>
      <c r="C70" t="inlineStr">
        <is>
          <t>Motorized control valve (modulating 0-10 V, position feedback)</t>
        </is>
      </c>
      <c r="D70" t="n">
        <v>4</v>
      </c>
      <c r="E70" t="inlineStr">
        <is>
          <t>CHS-F3</t>
        </is>
      </c>
      <c r="F70" t="n">
        <v>-300</v>
      </c>
      <c r="G70" t="n">
        <v>36400</v>
      </c>
      <c r="H70" t="n">
        <v>17500</v>
      </c>
      <c r="I70" t="n">
        <v>11500</v>
      </c>
      <c r="J70" t="inlineStr">
        <is>
          <t>AHU_F03 CHW valve</t>
        </is>
      </c>
      <c r="K70" t="inlineStr">
        <is>
          <t>AHU_F03_ValveCmd</t>
        </is>
      </c>
    </row>
    <row r="71">
      <c r="A71" t="n">
        <v>70</v>
      </c>
      <c r="B71" t="inlineStr">
        <is>
          <t>BFV</t>
        </is>
      </c>
      <c r="C71" t="inlineStr">
        <is>
          <t>Butterfly valve, lug type, PN16</t>
        </is>
      </c>
      <c r="D71" t="n">
        <v>4</v>
      </c>
      <c r="E71" t="inlineStr">
        <is>
          <t>CHR-F3</t>
        </is>
      </c>
      <c r="F71" t="n">
        <v>300</v>
      </c>
      <c r="G71" t="n">
        <v>33600</v>
      </c>
      <c r="H71" t="n">
        <v>17500</v>
      </c>
      <c r="I71" t="n">
        <v>10900</v>
      </c>
      <c r="J71" t="inlineStr"/>
      <c r="K71" t="inlineStr"/>
    </row>
    <row r="72">
      <c r="A72" t="n">
        <v>71</v>
      </c>
      <c r="B72" t="inlineStr">
        <is>
          <t>MCV</t>
        </is>
      </c>
      <c r="C72" t="inlineStr">
        <is>
          <t>Motorized control valve (modulating 0-10 V, position feedback)</t>
        </is>
      </c>
      <c r="D72" t="n">
        <v>4</v>
      </c>
      <c r="E72" t="inlineStr">
        <is>
          <t>CHS-F4</t>
        </is>
      </c>
      <c r="F72" t="n">
        <v>-300</v>
      </c>
      <c r="G72" t="n">
        <v>36400</v>
      </c>
      <c r="H72" t="n">
        <v>17500</v>
      </c>
      <c r="I72" t="n">
        <v>15700</v>
      </c>
      <c r="J72" t="inlineStr">
        <is>
          <t>AHU_F04 CHW valve</t>
        </is>
      </c>
      <c r="K72" t="inlineStr">
        <is>
          <t>AHU_F04_ValveCmd</t>
        </is>
      </c>
    </row>
    <row r="73">
      <c r="A73" t="n">
        <v>72</v>
      </c>
      <c r="B73" t="inlineStr">
        <is>
          <t>BFV</t>
        </is>
      </c>
      <c r="C73" t="inlineStr">
        <is>
          <t>Butterfly valve, lug type, PN16</t>
        </is>
      </c>
      <c r="D73" t="n">
        <v>4</v>
      </c>
      <c r="E73" t="inlineStr">
        <is>
          <t>CHR-F4</t>
        </is>
      </c>
      <c r="F73" t="n">
        <v>300</v>
      </c>
      <c r="G73" t="n">
        <v>33600</v>
      </c>
      <c r="H73" t="n">
        <v>17500</v>
      </c>
      <c r="I73" t="n">
        <v>15100</v>
      </c>
      <c r="J73" t="inlineStr"/>
      <c r="K73" t="inlineStr"/>
    </row>
    <row r="74">
      <c r="A74" t="n">
        <v>73</v>
      </c>
      <c r="B74" t="inlineStr">
        <is>
          <t>MCV</t>
        </is>
      </c>
      <c r="C74" t="inlineStr">
        <is>
          <t>Motorized control valve (modulating 0-10 V, position feedback)</t>
        </is>
      </c>
      <c r="D74" t="n">
        <v>4</v>
      </c>
      <c r="E74" t="inlineStr">
        <is>
          <t>CHS-F5</t>
        </is>
      </c>
      <c r="F74" t="n">
        <v>-300</v>
      </c>
      <c r="G74" t="n">
        <v>36400</v>
      </c>
      <c r="H74" t="n">
        <v>17500</v>
      </c>
      <c r="I74" t="n">
        <v>19900</v>
      </c>
      <c r="J74" t="inlineStr">
        <is>
          <t>AHU_F05 CHW valve</t>
        </is>
      </c>
      <c r="K74" t="inlineStr">
        <is>
          <t>AHU_F05_ValveCmd</t>
        </is>
      </c>
    </row>
    <row r="75">
      <c r="A75" t="n">
        <v>74</v>
      </c>
      <c r="B75" t="inlineStr">
        <is>
          <t>BFV</t>
        </is>
      </c>
      <c r="C75" t="inlineStr">
        <is>
          <t>Butterfly valve, lug type, PN16</t>
        </is>
      </c>
      <c r="D75" t="n">
        <v>4</v>
      </c>
      <c r="E75" t="inlineStr">
        <is>
          <t>CHR-F5</t>
        </is>
      </c>
      <c r="F75" t="n">
        <v>300</v>
      </c>
      <c r="G75" t="n">
        <v>33600</v>
      </c>
      <c r="H75" t="n">
        <v>17500</v>
      </c>
      <c r="I75" t="n">
        <v>19300</v>
      </c>
      <c r="J75" t="inlineStr"/>
      <c r="K75" t="inlineStr"/>
    </row>
    <row r="76">
      <c r="A76" t="n">
        <v>75</v>
      </c>
      <c r="B76" t="inlineStr">
        <is>
          <t>MCV</t>
        </is>
      </c>
      <c r="C76" t="inlineStr">
        <is>
          <t>Motorized control valve (modulating 0-10 V, position feedback)</t>
        </is>
      </c>
      <c r="D76" t="n">
        <v>4</v>
      </c>
      <c r="E76" t="inlineStr">
        <is>
          <t>CHS-F6</t>
        </is>
      </c>
      <c r="F76" t="n">
        <v>-300</v>
      </c>
      <c r="G76" t="n">
        <v>36400</v>
      </c>
      <c r="H76" t="n">
        <v>17500</v>
      </c>
      <c r="I76" t="n">
        <v>24100</v>
      </c>
      <c r="J76" t="inlineStr">
        <is>
          <t>AHU_F06 CHW valve</t>
        </is>
      </c>
      <c r="K76" t="inlineStr">
        <is>
          <t>AHU_F06_ValveCmd</t>
        </is>
      </c>
    </row>
    <row r="77">
      <c r="A77" t="n">
        <v>76</v>
      </c>
      <c r="B77" t="inlineStr">
        <is>
          <t>BFV</t>
        </is>
      </c>
      <c r="C77" t="inlineStr">
        <is>
          <t>Butterfly valve, lug type, PN16</t>
        </is>
      </c>
      <c r="D77" t="n">
        <v>4</v>
      </c>
      <c r="E77" t="inlineStr">
        <is>
          <t>CHR-F6</t>
        </is>
      </c>
      <c r="F77" t="n">
        <v>300</v>
      </c>
      <c r="G77" t="n">
        <v>33600</v>
      </c>
      <c r="H77" t="n">
        <v>17500</v>
      </c>
      <c r="I77" t="n">
        <v>23500</v>
      </c>
      <c r="J77" t="inlineStr"/>
      <c r="K77" t="inlineStr"/>
    </row>
    <row r="78">
      <c r="A78" t="n">
        <v>77</v>
      </c>
      <c r="B78" t="inlineStr">
        <is>
          <t>MCV</t>
        </is>
      </c>
      <c r="C78" t="inlineStr">
        <is>
          <t>Motorized control valve (modulating 0-10 V, position feedback)</t>
        </is>
      </c>
      <c r="D78" t="n">
        <v>4</v>
      </c>
      <c r="E78" t="inlineStr">
        <is>
          <t>CHS-F7</t>
        </is>
      </c>
      <c r="F78" t="n">
        <v>-300</v>
      </c>
      <c r="G78" t="n">
        <v>36400</v>
      </c>
      <c r="H78" t="n">
        <v>17500</v>
      </c>
      <c r="I78" t="n">
        <v>28300</v>
      </c>
      <c r="J78" t="inlineStr">
        <is>
          <t>AHU_F07 CHW valve</t>
        </is>
      </c>
      <c r="K78" t="inlineStr">
        <is>
          <t>AHU_F07_ValveCmd</t>
        </is>
      </c>
    </row>
    <row r="79">
      <c r="A79" t="n">
        <v>78</v>
      </c>
      <c r="B79" t="inlineStr">
        <is>
          <t>BFV</t>
        </is>
      </c>
      <c r="C79" t="inlineStr">
        <is>
          <t>Butterfly valve, lug type, PN16</t>
        </is>
      </c>
      <c r="D79" t="n">
        <v>4</v>
      </c>
      <c r="E79" t="inlineStr">
        <is>
          <t>CHR-F7</t>
        </is>
      </c>
      <c r="F79" t="n">
        <v>300</v>
      </c>
      <c r="G79" t="n">
        <v>33600</v>
      </c>
      <c r="H79" t="n">
        <v>17500</v>
      </c>
      <c r="I79" t="n">
        <v>27700</v>
      </c>
      <c r="J79" t="inlineStr"/>
      <c r="K79" t="inlineStr"/>
    </row>
    <row r="80">
      <c r="A80" t="n">
        <v>79</v>
      </c>
      <c r="B80" t="inlineStr">
        <is>
          <t>MCV</t>
        </is>
      </c>
      <c r="C80" t="inlineStr">
        <is>
          <t>Motorized control valve (modulating 0-10 V, position feedback)</t>
        </is>
      </c>
      <c r="D80" t="n">
        <v>4</v>
      </c>
      <c r="E80" t="inlineStr">
        <is>
          <t>CHS-F8</t>
        </is>
      </c>
      <c r="F80" t="n">
        <v>-300</v>
      </c>
      <c r="G80" t="n">
        <v>36400</v>
      </c>
      <c r="H80" t="n">
        <v>17500</v>
      </c>
      <c r="I80" t="n">
        <v>32500</v>
      </c>
      <c r="J80" t="inlineStr">
        <is>
          <t>AHU_F08 CHW valve</t>
        </is>
      </c>
      <c r="K80" t="inlineStr">
        <is>
          <t>AHU_F08_ValveCmd</t>
        </is>
      </c>
    </row>
    <row r="81">
      <c r="A81" t="n">
        <v>80</v>
      </c>
      <c r="B81" t="inlineStr">
        <is>
          <t>BFV</t>
        </is>
      </c>
      <c r="C81" t="inlineStr">
        <is>
          <t>Butterfly valve, lug type, PN16</t>
        </is>
      </c>
      <c r="D81" t="n">
        <v>4</v>
      </c>
      <c r="E81" t="inlineStr">
        <is>
          <t>CHR-F8</t>
        </is>
      </c>
      <c r="F81" t="n">
        <v>300</v>
      </c>
      <c r="G81" t="n">
        <v>33600</v>
      </c>
      <c r="H81" t="n">
        <v>17500</v>
      </c>
      <c r="I81" t="n">
        <v>31900</v>
      </c>
      <c r="J81" t="inlineStr"/>
      <c r="K81" t="inlineStr"/>
    </row>
    <row r="82">
      <c r="A82" t="n">
        <v>81</v>
      </c>
      <c r="B82" t="inlineStr">
        <is>
          <t>TT</t>
        </is>
      </c>
      <c r="C82" t="inlineStr">
        <is>
          <t>Temperature sensor 10k thermistor in well + thermometer</t>
        </is>
      </c>
      <c r="D82" t="n">
        <v>16</v>
      </c>
      <c r="E82" t="inlineStr">
        <is>
          <t>CHS-H</t>
        </is>
      </c>
      <c r="F82" t="n">
        <v>1500</v>
      </c>
      <c r="G82" t="n">
        <v>5130</v>
      </c>
      <c r="H82" t="n">
        <v>7900</v>
      </c>
      <c r="I82" t="n">
        <v>3300</v>
      </c>
      <c r="J82" t="inlineStr">
        <is>
          <t>CHWS</t>
        </is>
      </c>
      <c r="K82" t="inlineStr">
        <is>
          <t>CHWS</t>
        </is>
      </c>
    </row>
    <row r="83">
      <c r="A83" t="n">
        <v>82</v>
      </c>
      <c r="B83" t="inlineStr">
        <is>
          <t>FM</t>
        </is>
      </c>
      <c r="C83" t="inlineStr">
        <is>
          <t>Electromagnetic flow meter</t>
        </is>
      </c>
      <c r="D83" t="n">
        <v>16</v>
      </c>
      <c r="E83" t="inlineStr">
        <is>
          <t>CHS-H</t>
        </is>
      </c>
      <c r="F83" t="n">
        <v>2200</v>
      </c>
      <c r="G83" t="n">
        <v>5830</v>
      </c>
      <c r="H83" t="n">
        <v>7900</v>
      </c>
      <c r="I83" t="n">
        <v>3300</v>
      </c>
      <c r="J83" t="inlineStr">
        <is>
          <t>CHWFlow</t>
        </is>
      </c>
      <c r="K83" t="inlineStr">
        <is>
          <t>CHWFlow</t>
        </is>
      </c>
    </row>
    <row r="84">
      <c r="A84" t="n">
        <v>83</v>
      </c>
      <c r="B84" t="inlineStr">
        <is>
          <t>PT</t>
        </is>
      </c>
      <c r="C84" t="inlineStr">
        <is>
          <t>Differential pressure transmitter 0-4 bar</t>
        </is>
      </c>
      <c r="D84" t="n">
        <v>16</v>
      </c>
      <c r="E84" t="inlineStr">
        <is>
          <t>CHS-R</t>
        </is>
      </c>
      <c r="F84" t="n">
        <v>1500</v>
      </c>
      <c r="G84" t="n">
        <v>37000</v>
      </c>
      <c r="H84" t="n">
        <v>14200</v>
      </c>
      <c r="I84" t="n">
        <v>4800</v>
      </c>
      <c r="J84" t="inlineStr">
        <is>
          <t>CHWDP</t>
        </is>
      </c>
      <c r="K84" t="inlineStr"/>
    </row>
    <row r="85">
      <c r="A85" t="n">
        <v>84</v>
      </c>
      <c r="B85" t="inlineStr">
        <is>
          <t>TT</t>
        </is>
      </c>
      <c r="C85" t="inlineStr">
        <is>
          <t>Temperature sensor 10k thermistor in well + thermometer</t>
        </is>
      </c>
      <c r="D85" t="n">
        <v>16</v>
      </c>
      <c r="E85" t="inlineStr">
        <is>
          <t>CHR-R</t>
        </is>
      </c>
      <c r="F85" t="n">
        <v>-600</v>
      </c>
      <c r="G85" t="n">
        <v>32300</v>
      </c>
      <c r="H85" t="n">
        <v>13600</v>
      </c>
      <c r="I85" t="n">
        <v>1220</v>
      </c>
      <c r="J85" t="inlineStr">
        <is>
          <t>CHWR</t>
        </is>
      </c>
      <c r="K85" t="inlineStr">
        <is>
          <t>CHWR</t>
        </is>
      </c>
    </row>
    <row r="86">
      <c r="A86" t="n">
        <v>85</v>
      </c>
      <c r="B86" t="inlineStr">
        <is>
          <t>PG</t>
        </is>
      </c>
      <c r="C86" t="inlineStr">
        <is>
          <t>Pressure gauge 0-10 bar c/w cock</t>
        </is>
      </c>
      <c r="D86" t="n">
        <v>16</v>
      </c>
      <c r="E86" t="inlineStr">
        <is>
          <t>CHR-R</t>
        </is>
      </c>
      <c r="F86" t="n">
        <v>-900</v>
      </c>
      <c r="G86" t="n">
        <v>32300</v>
      </c>
      <c r="H86" t="n">
        <v>13600</v>
      </c>
      <c r="I86" t="n">
        <v>1520</v>
      </c>
      <c r="J86" t="inlineStr"/>
      <c r="K86" t="inlineStr"/>
    </row>
    <row r="87">
      <c r="A87" t="n">
        <v>86</v>
      </c>
      <c r="B87" t="inlineStr">
        <is>
          <t>BFV</t>
        </is>
      </c>
      <c r="C87" t="inlineStr">
        <is>
          <t>Butterfly valve, lug type, PN16</t>
        </is>
      </c>
      <c r="D87" t="n">
        <v>6</v>
      </c>
      <c r="E87" t="inlineStr">
        <is>
          <t>CHW-BP</t>
        </is>
      </c>
      <c r="F87" t="n">
        <v>3000</v>
      </c>
      <c r="G87" t="n">
        <v>31000</v>
      </c>
      <c r="H87" t="n">
        <v>8600</v>
      </c>
      <c r="I87" t="n">
        <v>1000</v>
      </c>
      <c r="J87" t="inlineStr"/>
      <c r="K87" t="inlineStr"/>
    </row>
    <row r="88">
      <c r="A88" t="n">
        <v>87</v>
      </c>
      <c r="B88" t="inlineStr">
        <is>
          <t>MCV</t>
        </is>
      </c>
      <c r="C88" t="inlineStr">
        <is>
          <t>Motorized control valve (modulating 0-10 V, position feedback)</t>
        </is>
      </c>
      <c r="D88" t="n">
        <v>6</v>
      </c>
      <c r="E88" t="inlineStr">
        <is>
          <t>CHW-BP</t>
        </is>
      </c>
      <c r="F88" t="n">
        <v>3800</v>
      </c>
      <c r="G88" t="n">
        <v>31800</v>
      </c>
      <c r="H88" t="n">
        <v>8600</v>
      </c>
      <c r="I88" t="n">
        <v>1000</v>
      </c>
      <c r="J88" t="inlineStr">
        <is>
          <t>CHW bypass valve</t>
        </is>
      </c>
      <c r="K88" t="inlineStr">
        <is>
          <t>Gfx_CHW_BypassMV_Pos</t>
        </is>
      </c>
    </row>
    <row r="89">
      <c r="A89" t="n">
        <v>88</v>
      </c>
      <c r="B89" t="inlineStr">
        <is>
          <t>BFV</t>
        </is>
      </c>
      <c r="C89" t="inlineStr">
        <is>
          <t>Butterfly valve, lug type, PN16</t>
        </is>
      </c>
      <c r="D89" t="n">
        <v>6</v>
      </c>
      <c r="E89" t="inlineStr">
        <is>
          <t>CHW-BP</t>
        </is>
      </c>
      <c r="F89" t="n">
        <v>4600</v>
      </c>
      <c r="G89" t="n">
        <v>32300</v>
      </c>
      <c r="H89" t="n">
        <v>8600</v>
      </c>
      <c r="I89" t="n">
        <v>700</v>
      </c>
      <c r="J89" t="inlineStr"/>
      <c r="K89" t="inlineStr"/>
    </row>
    <row r="90">
      <c r="A90" t="n">
        <v>89</v>
      </c>
      <c r="B90" t="inlineStr">
        <is>
          <t>BFV</t>
        </is>
      </c>
      <c r="C90" t="inlineStr">
        <is>
          <t>Butterfly valve, lug type, PN16</t>
        </is>
      </c>
      <c r="D90" t="n">
        <v>2</v>
      </c>
      <c r="E90" t="inlineStr">
        <is>
          <t>CHW-ET</t>
        </is>
      </c>
      <c r="F90" t="n">
        <v>120</v>
      </c>
      <c r="G90" t="n">
        <v>31570</v>
      </c>
      <c r="H90" t="n">
        <v>12900</v>
      </c>
      <c r="I90" t="n">
        <v>400</v>
      </c>
      <c r="J90" t="inlineStr"/>
      <c r="K90" t="inlineStr"/>
    </row>
    <row r="91">
      <c r="A91" t="n">
        <v>90</v>
      </c>
      <c r="B91" t="inlineStr">
        <is>
          <t>TT</t>
        </is>
      </c>
      <c r="C91" t="inlineStr">
        <is>
          <t>Temperature sensor 10k thermistor in well + thermometer</t>
        </is>
      </c>
      <c r="D91" t="n">
        <v>18</v>
      </c>
      <c r="E91" t="inlineStr">
        <is>
          <t>CDS-SH</t>
        </is>
      </c>
      <c r="F91" t="n">
        <v>1200</v>
      </c>
      <c r="G91" t="n">
        <v>41300</v>
      </c>
      <c r="H91" t="n">
        <v>14200</v>
      </c>
      <c r="I91" t="n">
        <v>620</v>
      </c>
      <c r="J91" t="inlineStr">
        <is>
          <t>CDS</t>
        </is>
      </c>
      <c r="K91" t="inlineStr">
        <is>
          <t>CDS</t>
        </is>
      </c>
    </row>
    <row r="92">
      <c r="A92" t="n">
        <v>91</v>
      </c>
      <c r="B92" t="inlineStr">
        <is>
          <t>FM</t>
        </is>
      </c>
      <c r="C92" t="inlineStr">
        <is>
          <t>Electromagnetic flow meter</t>
        </is>
      </c>
      <c r="D92" t="n">
        <v>18</v>
      </c>
      <c r="E92" t="inlineStr">
        <is>
          <t>CDS-CH</t>
        </is>
      </c>
      <c r="F92" t="n">
        <v>1800</v>
      </c>
      <c r="G92" t="n">
        <v>37675</v>
      </c>
      <c r="H92" t="n">
        <v>7100</v>
      </c>
      <c r="I92" t="n">
        <v>1800</v>
      </c>
      <c r="J92" t="inlineStr">
        <is>
          <t>CDW_Flow</t>
        </is>
      </c>
      <c r="K92" t="inlineStr">
        <is>
          <t>CDW_Flow</t>
        </is>
      </c>
    </row>
    <row r="93">
      <c r="A93" t="n">
        <v>92</v>
      </c>
      <c r="B93" t="inlineStr">
        <is>
          <t>TT</t>
        </is>
      </c>
      <c r="C93" t="inlineStr">
        <is>
          <t>Temperature sensor 10k thermistor in well + thermometer</t>
        </is>
      </c>
      <c r="D93" t="n">
        <v>18</v>
      </c>
      <c r="E93" t="inlineStr">
        <is>
          <t>CDR-H</t>
        </is>
      </c>
      <c r="F93" t="n">
        <v>-1500</v>
      </c>
      <c r="G93" t="n">
        <v>42100</v>
      </c>
      <c r="H93" t="n">
        <v>6700</v>
      </c>
      <c r="I93" t="n">
        <v>4200</v>
      </c>
      <c r="J93" t="inlineStr">
        <is>
          <t>CDR</t>
        </is>
      </c>
      <c r="K93" t="inlineStr">
        <is>
          <t>CDR</t>
        </is>
      </c>
    </row>
    <row r="94">
      <c r="A94" t="n">
        <v>93</v>
      </c>
      <c r="B94" t="inlineStr">
        <is>
          <t>CAP</t>
        </is>
      </c>
      <c r="C94" t="inlineStr">
        <is>
          <t>End cap / blind flange (header stub)</t>
        </is>
      </c>
      <c r="D94" t="n">
        <v>16</v>
      </c>
      <c r="E94" t="inlineStr">
        <is>
          <t>CHR-R</t>
        </is>
      </c>
      <c r="F94" t="n">
        <v>1</v>
      </c>
      <c r="G94" t="n">
        <v>32300</v>
      </c>
      <c r="H94" t="n">
        <v>13600</v>
      </c>
      <c r="I94" t="n">
        <v>34299</v>
      </c>
      <c r="J94" t="inlineStr"/>
      <c r="K94" t="inlineStr"/>
    </row>
    <row r="95">
      <c r="A95" t="n">
        <v>94</v>
      </c>
      <c r="B95" t="inlineStr">
        <is>
          <t>AAV</t>
        </is>
      </c>
      <c r="C95" t="inlineStr">
        <is>
          <t>Automatic air vent 3/4" c/w isolating ball valve</t>
        </is>
      </c>
      <c r="D95" t="n">
        <v>16</v>
      </c>
      <c r="E95" t="inlineStr">
        <is>
          <t>CHR-R</t>
        </is>
      </c>
      <c r="F95" t="n">
        <v>60</v>
      </c>
      <c r="G95" t="n">
        <v>32300</v>
      </c>
      <c r="H95" t="n">
        <v>13600</v>
      </c>
      <c r="I95" t="n">
        <v>34240</v>
      </c>
      <c r="J95" t="inlineStr"/>
      <c r="K95" t="inlineStr"/>
    </row>
    <row r="96">
      <c r="A96" t="n">
        <v>95</v>
      </c>
      <c r="B96" t="inlineStr">
        <is>
          <t>CAP</t>
        </is>
      </c>
      <c r="C96" t="inlineStr">
        <is>
          <t>End cap / blind flange (header stub)</t>
        </is>
      </c>
      <c r="D96" t="n">
        <v>16</v>
      </c>
      <c r="E96" t="inlineStr">
        <is>
          <t>CHR-SH</t>
        </is>
      </c>
      <c r="F96" t="n">
        <v>-1</v>
      </c>
      <c r="G96" t="n">
        <v>32300</v>
      </c>
      <c r="H96" t="n">
        <v>701</v>
      </c>
      <c r="I96" t="n">
        <v>620</v>
      </c>
      <c r="J96" t="inlineStr"/>
      <c r="K96" t="inlineStr"/>
    </row>
    <row r="97">
      <c r="A97" t="n">
        <v>96</v>
      </c>
      <c r="B97" t="inlineStr">
        <is>
          <t>DRAIN</t>
        </is>
      </c>
      <c r="C97" t="inlineStr">
        <is>
          <t>Drain valve 1-1/2" c/w hose cap</t>
        </is>
      </c>
      <c r="D97" t="n">
        <v>1.5</v>
      </c>
      <c r="E97" t="inlineStr">
        <is>
          <t>CHR-SH</t>
        </is>
      </c>
      <c r="F97" t="n">
        <v>-25</v>
      </c>
      <c r="G97" t="n">
        <v>32300</v>
      </c>
      <c r="H97" t="n">
        <v>725</v>
      </c>
      <c r="I97" t="n">
        <v>620</v>
      </c>
      <c r="J97" t="inlineStr"/>
      <c r="K97" t="inlineStr"/>
    </row>
    <row r="98">
      <c r="A98" t="n">
        <v>97</v>
      </c>
      <c r="B98" t="inlineStr">
        <is>
          <t>CAP</t>
        </is>
      </c>
      <c r="C98" t="inlineStr">
        <is>
          <t>End cap / blind flange (header stub)</t>
        </is>
      </c>
      <c r="D98" t="n">
        <v>16</v>
      </c>
      <c r="E98" t="inlineStr">
        <is>
          <t>CHR-DH</t>
        </is>
      </c>
      <c r="F98" t="n">
        <v>1</v>
      </c>
      <c r="G98" t="n">
        <v>33475</v>
      </c>
      <c r="H98" t="n">
        <v>701</v>
      </c>
      <c r="I98" t="n">
        <v>2600</v>
      </c>
      <c r="J98" t="inlineStr"/>
      <c r="K98" t="inlineStr"/>
    </row>
    <row r="99">
      <c r="A99" t="n">
        <v>98</v>
      </c>
      <c r="B99" t="inlineStr">
        <is>
          <t>CAP</t>
        </is>
      </c>
      <c r="C99" t="inlineStr">
        <is>
          <t>End cap / blind flange (header stub)</t>
        </is>
      </c>
      <c r="D99" t="n">
        <v>16</v>
      </c>
      <c r="E99" t="inlineStr">
        <is>
          <t>CHR-DH</t>
        </is>
      </c>
      <c r="F99" t="n">
        <v>-1</v>
      </c>
      <c r="G99" t="n">
        <v>33475</v>
      </c>
      <c r="H99" t="n">
        <v>11899</v>
      </c>
      <c r="I99" t="n">
        <v>2600</v>
      </c>
      <c r="J99" t="inlineStr"/>
      <c r="K99" t="inlineStr"/>
    </row>
    <row r="100">
      <c r="A100" t="n">
        <v>99</v>
      </c>
      <c r="B100" t="inlineStr">
        <is>
          <t>CAP</t>
        </is>
      </c>
      <c r="C100" t="inlineStr">
        <is>
          <t>End cap / blind flange (header stub)</t>
        </is>
      </c>
      <c r="D100" t="n">
        <v>16</v>
      </c>
      <c r="E100" t="inlineStr">
        <is>
          <t>CHR-EH</t>
        </is>
      </c>
      <c r="F100" t="n">
        <v>-1</v>
      </c>
      <c r="G100" t="n">
        <v>4131</v>
      </c>
      <c r="H100" t="n">
        <v>8400</v>
      </c>
      <c r="I100" t="n">
        <v>2600</v>
      </c>
      <c r="J100" t="inlineStr"/>
      <c r="K100" t="inlineStr"/>
    </row>
    <row r="101">
      <c r="A101" t="n">
        <v>100</v>
      </c>
      <c r="B101" t="inlineStr">
        <is>
          <t>CAP</t>
        </is>
      </c>
      <c r="C101" t="inlineStr">
        <is>
          <t>End cap / blind flange (header stub)</t>
        </is>
      </c>
      <c r="D101" t="n">
        <v>16</v>
      </c>
      <c r="E101" t="inlineStr">
        <is>
          <t>CHS-H</t>
        </is>
      </c>
      <c r="F101" t="n">
        <v>1</v>
      </c>
      <c r="G101" t="n">
        <v>3631</v>
      </c>
      <c r="H101" t="n">
        <v>7900</v>
      </c>
      <c r="I101" t="n">
        <v>3300</v>
      </c>
      <c r="J101" t="inlineStr"/>
      <c r="K101" t="inlineStr"/>
    </row>
    <row r="102">
      <c r="A102" t="n">
        <v>101</v>
      </c>
      <c r="B102" t="inlineStr">
        <is>
          <t>CAP</t>
        </is>
      </c>
      <c r="C102" t="inlineStr">
        <is>
          <t>End cap / blind flange (header stub)</t>
        </is>
      </c>
      <c r="D102" t="n">
        <v>16</v>
      </c>
      <c r="E102" t="inlineStr">
        <is>
          <t>CHS-R</t>
        </is>
      </c>
      <c r="F102" t="n">
        <v>-1</v>
      </c>
      <c r="G102" t="n">
        <v>37000</v>
      </c>
      <c r="H102" t="n">
        <v>14200</v>
      </c>
      <c r="I102" t="n">
        <v>34299</v>
      </c>
      <c r="J102" t="inlineStr"/>
      <c r="K102" t="inlineStr"/>
    </row>
    <row r="103">
      <c r="A103" t="n">
        <v>102</v>
      </c>
      <c r="B103" t="inlineStr">
        <is>
          <t>AAV</t>
        </is>
      </c>
      <c r="C103" t="inlineStr">
        <is>
          <t>Automatic air vent 3/4" c/w isolating ball valve</t>
        </is>
      </c>
      <c r="D103" t="n">
        <v>16</v>
      </c>
      <c r="E103" t="inlineStr">
        <is>
          <t>CHS-R</t>
        </is>
      </c>
      <c r="F103" t="n">
        <v>-60</v>
      </c>
      <c r="G103" t="n">
        <v>37000</v>
      </c>
      <c r="H103" t="n">
        <v>14200</v>
      </c>
      <c r="I103" t="n">
        <v>34240</v>
      </c>
      <c r="J103" t="inlineStr"/>
      <c r="K103" t="inlineStr"/>
    </row>
    <row r="104">
      <c r="A104" t="n">
        <v>103</v>
      </c>
      <c r="B104" t="inlineStr">
        <is>
          <t>CAP</t>
        </is>
      </c>
      <c r="C104" t="inlineStr">
        <is>
          <t>End cap / blind flange (header stub)</t>
        </is>
      </c>
      <c r="D104" t="n">
        <v>18</v>
      </c>
      <c r="E104" t="inlineStr">
        <is>
          <t>CDS-RH</t>
        </is>
      </c>
      <c r="F104" t="n">
        <v>1</v>
      </c>
      <c r="G104" t="n">
        <v>3001</v>
      </c>
      <c r="H104" t="n">
        <v>3600</v>
      </c>
      <c r="I104" t="n">
        <v>35350</v>
      </c>
      <c r="J104" t="inlineStr"/>
      <c r="K104" t="inlineStr"/>
    </row>
    <row r="105">
      <c r="A105" t="n">
        <v>104</v>
      </c>
      <c r="B105" t="inlineStr">
        <is>
          <t>CAP</t>
        </is>
      </c>
      <c r="C105" t="inlineStr">
        <is>
          <t>End cap / blind flange (header stub)</t>
        </is>
      </c>
      <c r="D105" t="n">
        <v>18</v>
      </c>
      <c r="E105" t="inlineStr">
        <is>
          <t>CDS-SH</t>
        </is>
      </c>
      <c r="F105" t="n">
        <v>-1</v>
      </c>
      <c r="G105" t="n">
        <v>38700</v>
      </c>
      <c r="H105" t="n">
        <v>701</v>
      </c>
      <c r="I105" t="n">
        <v>620</v>
      </c>
      <c r="J105" t="inlineStr"/>
      <c r="K105" t="inlineStr"/>
    </row>
    <row r="106">
      <c r="A106" t="n">
        <v>105</v>
      </c>
      <c r="B106" t="inlineStr">
        <is>
          <t>DRAIN</t>
        </is>
      </c>
      <c r="C106" t="inlineStr">
        <is>
          <t>Drain valve 1-1/2" c/w hose cap</t>
        </is>
      </c>
      <c r="D106" t="n">
        <v>1.5</v>
      </c>
      <c r="E106" t="inlineStr">
        <is>
          <t>CDS-SH</t>
        </is>
      </c>
      <c r="F106" t="n">
        <v>-25</v>
      </c>
      <c r="G106" t="n">
        <v>38700</v>
      </c>
      <c r="H106" t="n">
        <v>725</v>
      </c>
      <c r="I106" t="n">
        <v>620</v>
      </c>
      <c r="J106" t="inlineStr"/>
      <c r="K106" t="inlineStr"/>
    </row>
    <row r="107">
      <c r="A107" t="n">
        <v>106</v>
      </c>
      <c r="B107" t="inlineStr">
        <is>
          <t>CAP</t>
        </is>
      </c>
      <c r="C107" t="inlineStr">
        <is>
          <t>End cap / blind flange (header stub)</t>
        </is>
      </c>
      <c r="D107" t="n">
        <v>18</v>
      </c>
      <c r="E107" t="inlineStr">
        <is>
          <t>CDS-DH</t>
        </is>
      </c>
      <c r="F107" t="n">
        <v>1</v>
      </c>
      <c r="G107" t="n">
        <v>39475</v>
      </c>
      <c r="H107" t="n">
        <v>701</v>
      </c>
      <c r="I107" t="n">
        <v>1800</v>
      </c>
      <c r="J107" t="inlineStr"/>
      <c r="K107" t="inlineStr"/>
    </row>
    <row r="108">
      <c r="A108" t="n">
        <v>107</v>
      </c>
      <c r="B108" t="inlineStr">
        <is>
          <t>CAP</t>
        </is>
      </c>
      <c r="C108" t="inlineStr">
        <is>
          <t>End cap / blind flange (header stub)</t>
        </is>
      </c>
      <c r="D108" t="n">
        <v>18</v>
      </c>
      <c r="E108" t="inlineStr">
        <is>
          <t>CDS-DH</t>
        </is>
      </c>
      <c r="F108" t="n">
        <v>-1</v>
      </c>
      <c r="G108" t="n">
        <v>39475</v>
      </c>
      <c r="H108" t="n">
        <v>11899</v>
      </c>
      <c r="I108" t="n">
        <v>1800</v>
      </c>
      <c r="J108" t="inlineStr"/>
      <c r="K108" t="inlineStr"/>
    </row>
    <row r="109">
      <c r="A109" t="n">
        <v>108</v>
      </c>
      <c r="B109" t="inlineStr">
        <is>
          <t>CAP</t>
        </is>
      </c>
      <c r="C109" t="inlineStr">
        <is>
          <t>End cap / blind flange (header stub)</t>
        </is>
      </c>
      <c r="D109" t="n">
        <v>18</v>
      </c>
      <c r="E109" t="inlineStr">
        <is>
          <t>CDS-CH</t>
        </is>
      </c>
      <c r="F109" t="n">
        <v>-1</v>
      </c>
      <c r="G109" t="n">
        <v>3281</v>
      </c>
      <c r="H109" t="n">
        <v>7100</v>
      </c>
      <c r="I109" t="n">
        <v>1800</v>
      </c>
      <c r="J109" t="inlineStr"/>
      <c r="K109" t="inlineStr"/>
    </row>
    <row r="110">
      <c r="A110" t="n">
        <v>109</v>
      </c>
      <c r="B110" t="inlineStr">
        <is>
          <t>CAP</t>
        </is>
      </c>
      <c r="C110" t="inlineStr">
        <is>
          <t>End cap / blind flange (header stub)</t>
        </is>
      </c>
      <c r="D110" t="n">
        <v>18</v>
      </c>
      <c r="E110" t="inlineStr">
        <is>
          <t>CDR-H</t>
        </is>
      </c>
      <c r="F110" t="n">
        <v>1</v>
      </c>
      <c r="G110" t="n">
        <v>3681</v>
      </c>
      <c r="H110" t="n">
        <v>6700</v>
      </c>
      <c r="I110" t="n">
        <v>4200</v>
      </c>
      <c r="J110" t="inlineStr"/>
      <c r="K110" t="inlineStr"/>
    </row>
    <row r="111">
      <c r="A111" t="n">
        <v>110</v>
      </c>
      <c r="B111" t="inlineStr">
        <is>
          <t>CAP</t>
        </is>
      </c>
      <c r="C111" t="inlineStr">
        <is>
          <t>End cap / blind flange (header stub)</t>
        </is>
      </c>
      <c r="D111" t="n">
        <v>18</v>
      </c>
      <c r="E111" t="inlineStr">
        <is>
          <t>CDR-RH</t>
        </is>
      </c>
      <c r="F111" t="n">
        <v>-1</v>
      </c>
      <c r="G111" t="n">
        <v>3701</v>
      </c>
      <c r="H111" t="n">
        <v>8200</v>
      </c>
      <c r="I111" t="n">
        <v>36050</v>
      </c>
      <c r="J111" t="inlineStr"/>
      <c r="K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Fitting</t>
        </is>
      </c>
      <c r="B1" s="1" t="inlineStr">
        <is>
          <t>Run DN</t>
        </is>
      </c>
      <c r="C1" s="1" t="inlineStr">
        <is>
          <t>Branch DN</t>
        </is>
      </c>
      <c r="D1" s="1" t="inlineStr">
        <is>
          <t>Qty</t>
        </is>
      </c>
    </row>
    <row r="2">
      <c r="A2" t="inlineStr">
        <is>
          <t>TEE</t>
        </is>
      </c>
      <c r="B2" t="n">
        <v>16</v>
      </c>
      <c r="C2" t="n">
        <v>16</v>
      </c>
      <c r="D2" t="n">
        <v>1</v>
      </c>
    </row>
    <row r="3">
      <c r="A3" t="inlineStr">
        <is>
          <t>TEE</t>
        </is>
      </c>
      <c r="B3" t="n">
        <v>16</v>
      </c>
      <c r="C3" t="n">
        <v>6</v>
      </c>
      <c r="D3" t="n">
        <v>2</v>
      </c>
    </row>
    <row r="4">
      <c r="A4" t="inlineStr">
        <is>
          <t>TEE</t>
        </is>
      </c>
      <c r="B4" t="n">
        <v>16</v>
      </c>
      <c r="C4" t="n">
        <v>2</v>
      </c>
      <c r="D4" t="n">
        <v>1</v>
      </c>
    </row>
    <row r="5">
      <c r="A5" t="inlineStr">
        <is>
          <t>TEE</t>
        </is>
      </c>
      <c r="B5" t="n">
        <v>18</v>
      </c>
      <c r="C5" t="n">
        <v>18</v>
      </c>
      <c r="D5" t="n">
        <v>1</v>
      </c>
    </row>
    <row r="6">
      <c r="A6" t="inlineStr">
        <is>
          <t>TEE</t>
        </is>
      </c>
      <c r="B6" t="n">
        <v>16</v>
      </c>
      <c r="C6" t="n">
        <v>8</v>
      </c>
      <c r="D6" t="n">
        <v>8</v>
      </c>
    </row>
    <row r="7">
      <c r="A7" t="inlineStr">
        <is>
          <t>TEE</t>
        </is>
      </c>
      <c r="B7" t="n">
        <v>18</v>
      </c>
      <c r="C7" t="n">
        <v>8</v>
      </c>
      <c r="D7" t="n">
        <v>16</v>
      </c>
    </row>
    <row r="8">
      <c r="A8" t="inlineStr">
        <is>
          <t>TEE</t>
        </is>
      </c>
      <c r="B8" t="n">
        <v>16</v>
      </c>
      <c r="C8" t="n">
        <v>4</v>
      </c>
      <c r="D8" t="n">
        <v>13</v>
      </c>
    </row>
    <row r="9">
      <c r="A9" t="inlineStr">
        <is>
          <t>ELBOW 90 LR</t>
        </is>
      </c>
      <c r="B9" t="n">
        <v>16</v>
      </c>
      <c r="C9" t="inlineStr"/>
      <c r="D9" t="n">
        <v>1</v>
      </c>
    </row>
    <row r="10">
      <c r="A10" t="inlineStr">
        <is>
          <t>ELBOW 90 LR</t>
        </is>
      </c>
      <c r="B10" t="n">
        <v>6</v>
      </c>
      <c r="C10" t="inlineStr"/>
      <c r="D10" t="n">
        <v>3</v>
      </c>
    </row>
    <row r="11">
      <c r="A11" t="inlineStr">
        <is>
          <t>ELBOW 90 LR</t>
        </is>
      </c>
      <c r="B11" t="n">
        <v>2</v>
      </c>
      <c r="C11" t="inlineStr"/>
      <c r="D11" t="n">
        <v>2</v>
      </c>
    </row>
    <row r="12">
      <c r="A12" t="inlineStr">
        <is>
          <t>ELBOW 90 LR</t>
        </is>
      </c>
      <c r="B12" t="n">
        <v>18</v>
      </c>
      <c r="C12" t="inlineStr"/>
      <c r="D12" t="n">
        <v>3</v>
      </c>
    </row>
    <row r="13">
      <c r="A13" t="inlineStr">
        <is>
          <t>ELBOW 90 LR</t>
        </is>
      </c>
      <c r="B13" t="n">
        <v>8</v>
      </c>
      <c r="C13" t="inlineStr"/>
      <c r="D13" t="n">
        <v>16</v>
      </c>
    </row>
    <row r="14">
      <c r="A14" t="inlineStr">
        <is>
          <t>ELBOW 90 LR</t>
        </is>
      </c>
      <c r="B14" t="n">
        <v>4</v>
      </c>
      <c r="C14" t="inlineStr"/>
      <c r="D14" t="n">
        <v>28</v>
      </c>
    </row>
    <row r="15">
      <c r="A15" t="inlineStr">
        <is>
          <t>FLANGE PAIR PN16</t>
        </is>
      </c>
      <c r="B15" t="n">
        <v>8</v>
      </c>
      <c r="C15" t="inlineStr"/>
      <c r="D15" t="n">
        <v>136</v>
      </c>
    </row>
    <row r="16">
      <c r="A16" t="inlineStr">
        <is>
          <t>FLANGE PAIR PN16</t>
        </is>
      </c>
      <c r="B16" t="n">
        <v>6</v>
      </c>
      <c r="C16" t="inlineStr"/>
      <c r="D16" t="n">
        <v>14</v>
      </c>
    </row>
    <row r="17">
      <c r="A17" t="inlineStr">
        <is>
          <t>FLANGE PAIR PN16</t>
        </is>
      </c>
      <c r="B17" t="n">
        <v>4</v>
      </c>
      <c r="C17" t="inlineStr"/>
      <c r="D17" t="n">
        <v>42</v>
      </c>
    </row>
    <row r="18">
      <c r="A18" t="inlineStr">
        <is>
          <t>FLANGE PAIR PN16</t>
        </is>
      </c>
      <c r="B18" t="n">
        <v>16</v>
      </c>
      <c r="C18" t="inlineStr"/>
      <c r="D18" t="n">
        <v>2</v>
      </c>
    </row>
    <row r="19">
      <c r="A19" t="inlineStr">
        <is>
          <t>FLANGE PAIR PN16</t>
        </is>
      </c>
      <c r="B19" t="n">
        <v>2</v>
      </c>
      <c r="C19" t="inlineStr"/>
      <c r="D19" t="n">
        <v>3</v>
      </c>
    </row>
    <row r="20">
      <c r="A20" t="inlineStr">
        <is>
          <t>FLANGE PAIR PN16</t>
        </is>
      </c>
      <c r="B20" t="n">
        <v>18</v>
      </c>
      <c r="C20" t="inlineStr"/>
      <c r="D2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8" customWidth="1" min="3" max="3"/>
  </cols>
  <sheetData>
    <row r="1">
      <c r="A1" s="1" t="inlineStr">
        <is>
          <t>Support type</t>
        </is>
      </c>
      <c r="B1" s="1" t="inlineStr">
        <is>
          <t>Pipe DN</t>
        </is>
      </c>
      <c r="C1" s="1" t="inlineStr">
        <is>
          <t>Qty</t>
        </is>
      </c>
    </row>
    <row r="2">
      <c r="A2" t="inlineStr">
        <is>
          <t>Floor pipe stanchion + base plate</t>
        </is>
      </c>
      <c r="B2" t="n">
        <v>2</v>
      </c>
      <c r="C2" t="n">
        <v>0</v>
      </c>
    </row>
    <row r="3">
      <c r="A3" t="inlineStr">
        <is>
          <t>Floor pipe stanchion + base plate</t>
        </is>
      </c>
      <c r="B3" t="n">
        <v>6</v>
      </c>
      <c r="C3" t="n">
        <v>1</v>
      </c>
    </row>
    <row r="4">
      <c r="A4" t="inlineStr">
        <is>
          <t>Floor pipe stanchion + base plate</t>
        </is>
      </c>
      <c r="B4" t="n">
        <v>8</v>
      </c>
      <c r="C4" t="n">
        <v>6</v>
      </c>
    </row>
    <row r="5">
      <c r="A5" t="inlineStr">
        <is>
          <t>Floor pipe stanchion + base plate</t>
        </is>
      </c>
      <c r="B5" t="n">
        <v>16</v>
      </c>
      <c r="C5" t="n">
        <v>5</v>
      </c>
    </row>
    <row r="6">
      <c r="A6" t="inlineStr">
        <is>
          <t>Floor pipe stanchion + base plate</t>
        </is>
      </c>
      <c r="B6" t="n">
        <v>18</v>
      </c>
      <c r="C6" t="n">
        <v>6</v>
      </c>
    </row>
    <row r="7">
      <c r="A7" t="inlineStr">
        <is>
          <t>Pipe hanger (rod Ø12 + clevis)</t>
        </is>
      </c>
      <c r="B7" t="n">
        <v>4</v>
      </c>
      <c r="C7" t="n">
        <v>28</v>
      </c>
    </row>
    <row r="8">
      <c r="A8" t="inlineStr">
        <is>
          <t>Pipe hanger (rod Ø12 + clevis)</t>
        </is>
      </c>
      <c r="B8" t="n">
        <v>16</v>
      </c>
      <c r="C8" t="n">
        <v>27</v>
      </c>
    </row>
    <row r="9">
      <c r="A9" t="inlineStr">
        <is>
          <t>Pipe hanger (rod Ø12 + clevis)</t>
        </is>
      </c>
      <c r="B9" t="n">
        <v>18</v>
      </c>
      <c r="C9" t="n">
        <v>30</v>
      </c>
    </row>
    <row r="10">
      <c r="A10" t="inlineStr">
        <is>
          <t>Riser clamp</t>
        </is>
      </c>
      <c r="B10" t="n">
        <v>2</v>
      </c>
      <c r="C10" t="n">
        <v>0</v>
      </c>
    </row>
    <row r="11">
      <c r="A11" t="inlineStr">
        <is>
          <t>Riser clamp</t>
        </is>
      </c>
      <c r="B11" t="n">
        <v>4</v>
      </c>
      <c r="C11" t="n">
        <v>0</v>
      </c>
    </row>
    <row r="12">
      <c r="A12" t="inlineStr">
        <is>
          <t>Riser clamp</t>
        </is>
      </c>
      <c r="B12" t="n">
        <v>6</v>
      </c>
      <c r="C12" t="n">
        <v>0</v>
      </c>
    </row>
    <row r="13">
      <c r="A13" t="inlineStr">
        <is>
          <t>Riser clamp</t>
        </is>
      </c>
      <c r="B13" t="n">
        <v>8</v>
      </c>
      <c r="C13" t="n">
        <v>0</v>
      </c>
    </row>
    <row r="14">
      <c r="A14" t="inlineStr">
        <is>
          <t>Riser clamp</t>
        </is>
      </c>
      <c r="B14" t="n">
        <v>16</v>
      </c>
      <c r="C14" t="n">
        <v>0</v>
      </c>
    </row>
    <row r="15">
      <c r="A15" t="inlineStr">
        <is>
          <t>Riser clamp</t>
        </is>
      </c>
      <c r="B15" t="n">
        <v>18</v>
      </c>
      <c r="C15" t="n">
        <v>3</v>
      </c>
    </row>
    <row r="16">
      <c r="A16" t="inlineStr">
        <is>
          <t>Roof pipe sleeper (concrete block + saddle)</t>
        </is>
      </c>
      <c r="B16" t="n">
        <v>8</v>
      </c>
      <c r="C16" t="n">
        <v>8</v>
      </c>
    </row>
    <row r="17">
      <c r="A17" t="inlineStr">
        <is>
          <t>Roof pipe sleeper (concrete block + saddle)</t>
        </is>
      </c>
      <c r="B17" t="n">
        <v>18</v>
      </c>
      <c r="C1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7" customWidth="1" min="4" max="4"/>
    <col width="7" customWidth="1" min="5" max="5"/>
    <col width="5" customWidth="1" min="6" max="6"/>
    <col width="7" customWidth="1" min="7" max="7"/>
    <col width="7" customWidth="1" min="8" max="8"/>
    <col width="7" customWidth="1" min="9" max="9"/>
    <col width="10" customWidth="1" min="10" max="10"/>
    <col width="90" customWidth="1" min="11" max="11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Rot</t>
        </is>
      </c>
      <c r="G1" s="1" t="inlineStr">
        <is>
          <t>L</t>
        </is>
      </c>
      <c r="H1" s="1" t="inlineStr">
        <is>
          <t>W</t>
        </is>
      </c>
      <c r="I1" s="1" t="inlineStr">
        <is>
          <t>H</t>
        </is>
      </c>
      <c r="J1" s="1" t="inlineStr">
        <is>
          <t>BMS point</t>
        </is>
      </c>
      <c r="K1" s="1" t="inlineStr">
        <is>
          <t>Data</t>
        </is>
      </c>
    </row>
    <row r="2">
      <c r="A2" t="inlineStr">
        <is>
          <t>CH-01</t>
        </is>
      </c>
      <c r="B2" t="inlineStr">
        <is>
          <t>chiller</t>
        </is>
      </c>
      <c r="C2" t="n">
        <v>4000</v>
      </c>
      <c r="D2" t="n">
        <v>11000</v>
      </c>
      <c r="E2" t="n">
        <v>100</v>
      </c>
      <c r="F2" t="n">
        <v>90</v>
      </c>
      <c r="G2" t="n">
        <v>3774</v>
      </c>
      <c r="H2" t="n">
        <v>1771</v>
      </c>
      <c r="I2" t="n">
        <v>2033</v>
      </c>
      <c r="J2" t="inlineStr">
        <is>
          <t>CH01</t>
        </is>
      </c>
      <c r="K2" t="inlineStr">
        <is>
          <t>Model: Water-cooled screw / centrifugal (reference); Capacity: 334 TR; Efficiency: 0.614 kW/TR; CHW: 6.7 -&gt; 12.2 C; Power: 380 V / 3 Ph / 50 Hz; Slot: CH01; Logic: V7.8 base unit</t>
        </is>
      </c>
    </row>
    <row r="3">
      <c r="A3" t="inlineStr">
        <is>
          <t>CH-02</t>
        </is>
      </c>
      <c r="B3" t="inlineStr">
        <is>
          <t>chiller</t>
        </is>
      </c>
      <c r="C3" t="n">
        <v>9000</v>
      </c>
      <c r="D3" t="n">
        <v>11000</v>
      </c>
      <c r="E3" t="n">
        <v>100</v>
      </c>
      <c r="F3" t="n">
        <v>90</v>
      </c>
      <c r="G3" t="n">
        <v>3774</v>
      </c>
      <c r="H3" t="n">
        <v>1771</v>
      </c>
      <c r="I3" t="n">
        <v>2033</v>
      </c>
      <c r="J3" t="inlineStr">
        <is>
          <t>CH02</t>
        </is>
      </c>
      <c r="K3" t="inlineStr">
        <is>
          <t>Model: Water-cooled screw / centrifugal (reference); Capacity: 334 TR; Efficiency: 0.614 kW/TR; CHW: 6.7 -&gt; 12.2 C; Power: 380 V / 3 Ph / 50 Hz; Slot: CH02; Logic: V7.8 base unit</t>
        </is>
      </c>
    </row>
    <row r="4">
      <c r="A4" t="inlineStr">
        <is>
          <t>CHP-01</t>
        </is>
      </c>
      <c r="B4" t="inlineStr">
        <is>
          <t>pump</t>
        </is>
      </c>
      <c r="C4" t="n">
        <v>34000</v>
      </c>
      <c r="D4" t="n">
        <v>1600</v>
      </c>
      <c r="E4" t="n">
        <v>0</v>
      </c>
      <c r="F4" t="n">
        <v>0</v>
      </c>
      <c r="G4" t="n">
        <v>1750</v>
      </c>
      <c r="H4" t="n">
        <v>650</v>
      </c>
      <c r="I4" t="n">
        <v>850</v>
      </c>
      <c r="J4" t="inlineStr">
        <is>
          <t>CHP01</t>
        </is>
      </c>
      <c r="K4" t="inlineStr">
        <is>
          <t>Service: Chilled water pump (primary-variable, headered); Type: End suction, VSD; Flow: 800 USgpm; Head: 80 ft; Motor: 22 kW, 380/3/50; Slot: CHP01</t>
        </is>
      </c>
    </row>
    <row r="5">
      <c r="A5" t="inlineStr">
        <is>
          <t>CHP-02</t>
        </is>
      </c>
      <c r="B5" t="inlineStr">
        <is>
          <t>pump</t>
        </is>
      </c>
      <c r="C5" t="n">
        <v>34000</v>
      </c>
      <c r="D5" t="n">
        <v>3600</v>
      </c>
      <c r="E5" t="n">
        <v>0</v>
      </c>
      <c r="F5" t="n">
        <v>0</v>
      </c>
      <c r="G5" t="n">
        <v>1750</v>
      </c>
      <c r="H5" t="n">
        <v>650</v>
      </c>
      <c r="I5" t="n">
        <v>850</v>
      </c>
      <c r="J5" t="inlineStr">
        <is>
          <t>CHP02</t>
        </is>
      </c>
      <c r="K5" t="inlineStr">
        <is>
          <t>Service: Chilled water pump (primary-variable, headered); Type: End suction, VSD; Flow: 800 USgpm; Head: 80 ft; Motor: 22 kW, 380/3/50; Slot: CHP02</t>
        </is>
      </c>
    </row>
    <row r="6">
      <c r="A6" t="inlineStr">
        <is>
          <t>CDP-01</t>
        </is>
      </c>
      <c r="B6" t="inlineStr">
        <is>
          <t>pump</t>
        </is>
      </c>
      <c r="C6" t="n">
        <v>40000</v>
      </c>
      <c r="D6" t="n">
        <v>1600</v>
      </c>
      <c r="E6" t="n">
        <v>0</v>
      </c>
      <c r="F6" t="n">
        <v>0</v>
      </c>
      <c r="G6" t="n">
        <v>1750</v>
      </c>
      <c r="H6" t="n">
        <v>650</v>
      </c>
      <c r="I6" t="n">
        <v>850</v>
      </c>
      <c r="J6" t="inlineStr">
        <is>
          <t>CDP01</t>
        </is>
      </c>
      <c r="K6" t="inlineStr">
        <is>
          <t>Service: Condenser water pump (headered); Type: End suction, VSD; Flow: 1,000 USgpm; Head: 80 ft; Motor: 30 kW, 380/3/50; Slot: CDP01</t>
        </is>
      </c>
    </row>
    <row r="7">
      <c r="A7" t="inlineStr">
        <is>
          <t>CDP-02</t>
        </is>
      </c>
      <c r="B7" t="inlineStr">
        <is>
          <t>pump</t>
        </is>
      </c>
      <c r="C7" t="n">
        <v>40000</v>
      </c>
      <c r="D7" t="n">
        <v>3600</v>
      </c>
      <c r="E7" t="n">
        <v>0</v>
      </c>
      <c r="F7" t="n">
        <v>0</v>
      </c>
      <c r="G7" t="n">
        <v>1750</v>
      </c>
      <c r="H7" t="n">
        <v>650</v>
      </c>
      <c r="I7" t="n">
        <v>850</v>
      </c>
      <c r="J7" t="inlineStr">
        <is>
          <t>CDP02</t>
        </is>
      </c>
      <c r="K7" t="inlineStr">
        <is>
          <t>Service: Condenser water pump (headered); Type: End suction, VSD; Flow: 1,000 USgpm; Head: 80 ft; Motor: 30 kW, 380/3/50; Slot: CDP02</t>
        </is>
      </c>
    </row>
    <row r="8">
      <c r="A8" t="inlineStr">
        <is>
          <t>CT-01/1</t>
        </is>
      </c>
      <c r="B8" t="inlineStr">
        <is>
          <t>ct</t>
        </is>
      </c>
      <c r="C8" t="n">
        <v>4000</v>
      </c>
      <c r="D8" t="n">
        <v>6000</v>
      </c>
      <c r="E8" t="n">
        <v>35900</v>
      </c>
      <c r="F8" t="n">
        <v>0</v>
      </c>
      <c r="G8" t="n">
        <v>2600</v>
      </c>
      <c r="H8" t="n">
        <v>2600</v>
      </c>
      <c r="I8" t="n">
        <v>2700</v>
      </c>
      <c r="J8" t="inlineStr">
        <is>
          <t>CT01_01</t>
        </is>
      </c>
      <c r="K8" t="inlineStr">
        <is>
          <t>Type: Crossflow, induced draft (FRP); Cell: 1 of 2; Capacity: 420 TR per tower; Fan: 5.5 kW VSD; Slot: CT01</t>
        </is>
      </c>
    </row>
    <row r="9">
      <c r="A9" t="inlineStr">
        <is>
          <t>CT-01/2</t>
        </is>
      </c>
      <c r="B9" t="inlineStr">
        <is>
          <t>ct</t>
        </is>
      </c>
      <c r="C9" t="n">
        <v>6800</v>
      </c>
      <c r="D9" t="n">
        <v>6000</v>
      </c>
      <c r="E9" t="n">
        <v>35900</v>
      </c>
      <c r="F9" t="n">
        <v>0</v>
      </c>
      <c r="G9" t="n">
        <v>2600</v>
      </c>
      <c r="H9" t="n">
        <v>2600</v>
      </c>
      <c r="I9" t="n">
        <v>2700</v>
      </c>
      <c r="J9" t="inlineStr">
        <is>
          <t>CT01_02</t>
        </is>
      </c>
      <c r="K9" t="inlineStr">
        <is>
          <t>Type: Crossflow, induced draft (FRP); Cell: 2 of 2; Capacity: 420 TR per tower; Fan: 5.5 kW VSD; Slot: CT01</t>
        </is>
      </c>
    </row>
    <row r="10">
      <c r="A10" t="inlineStr">
        <is>
          <t>CT-02/1</t>
        </is>
      </c>
      <c r="B10" t="inlineStr">
        <is>
          <t>ct</t>
        </is>
      </c>
      <c r="C10" t="n">
        <v>9600</v>
      </c>
      <c r="D10" t="n">
        <v>6000</v>
      </c>
      <c r="E10" t="n">
        <v>35900</v>
      </c>
      <c r="F10" t="n">
        <v>0</v>
      </c>
      <c r="G10" t="n">
        <v>2600</v>
      </c>
      <c r="H10" t="n">
        <v>2600</v>
      </c>
      <c r="I10" t="n">
        <v>2700</v>
      </c>
      <c r="J10" t="inlineStr">
        <is>
          <t>CT02_01</t>
        </is>
      </c>
      <c r="K10" t="inlineStr">
        <is>
          <t>Type: Crossflow, induced draft (FRP); Cell: 1 of 2; Capacity: 420 TR per tower; Fan: 5.5 kW VSD; Slot: CT02</t>
        </is>
      </c>
    </row>
    <row r="11">
      <c r="A11" t="inlineStr">
        <is>
          <t>CT-02/2</t>
        </is>
      </c>
      <c r="B11" t="inlineStr">
        <is>
          <t>ct</t>
        </is>
      </c>
      <c r="C11" t="n">
        <v>12400</v>
      </c>
      <c r="D11" t="n">
        <v>6000</v>
      </c>
      <c r="E11" t="n">
        <v>35900</v>
      </c>
      <c r="F11" t="n">
        <v>0</v>
      </c>
      <c r="G11" t="n">
        <v>2600</v>
      </c>
      <c r="H11" t="n">
        <v>2600</v>
      </c>
      <c r="I11" t="n">
        <v>2700</v>
      </c>
      <c r="J11" t="inlineStr">
        <is>
          <t>CT02_02</t>
        </is>
      </c>
      <c r="K11" t="inlineStr">
        <is>
          <t>Type: Crossflow, induced draft (FRP); Cell: 2 of 2; Capacity: 420 TR per tower; Fan: 5.5 kW VSD; Slot: CT02</t>
        </is>
      </c>
    </row>
    <row r="12">
      <c r="A12" t="inlineStr">
        <is>
          <t>ET-01</t>
        </is>
      </c>
      <c r="B12" t="inlineStr">
        <is>
          <t>exptank</t>
        </is>
      </c>
      <c r="C12" t="n">
        <v>31000</v>
      </c>
      <c r="D12" t="n">
        <v>12900</v>
      </c>
      <c r="E12" t="n">
        <v>0</v>
      </c>
      <c r="F12" t="n">
        <v>0</v>
      </c>
      <c r="G12" t="n">
        <v>900</v>
      </c>
      <c r="H12" t="n">
        <v>900</v>
      </c>
      <c r="I12" t="n">
        <v>1600</v>
      </c>
      <c r="J12" t="inlineStr"/>
      <c r="K12" t="inlineStr">
        <is>
          <t>Service: Expansion tank; Volume: 1,000 L</t>
        </is>
      </c>
    </row>
    <row r="13">
      <c r="A13" t="inlineStr">
        <is>
          <t>DPB-01</t>
        </is>
      </c>
      <c r="B13" t="inlineStr">
        <is>
          <t>bypass</t>
        </is>
      </c>
      <c r="C13" t="n">
        <v>30000</v>
      </c>
      <c r="D13" t="n">
        <v>8600</v>
      </c>
      <c r="E13" t="n">
        <v>0</v>
      </c>
      <c r="F13" t="n">
        <v>0</v>
      </c>
      <c r="G13" t="n">
        <v>2400</v>
      </c>
      <c r="H13" t="n">
        <v>500</v>
      </c>
      <c r="I13" t="n">
        <v>800</v>
      </c>
      <c r="J13" t="inlineStr">
        <is>
          <t>Byp</t>
        </is>
      </c>
      <c r="K13" t="inlineStr">
        <is>
          <t>Service: CHW minimum-flow bypass</t>
        </is>
      </c>
    </row>
    <row r="14">
      <c r="A14" t="inlineStr">
        <is>
          <t>CP-01</t>
        </is>
      </c>
      <c r="B14" t="inlineStr">
        <is>
          <t>panel</t>
        </is>
      </c>
      <c r="C14" t="n">
        <v>2500</v>
      </c>
      <c r="D14" t="n">
        <v>14600</v>
      </c>
      <c r="E14" t="n">
        <v>0</v>
      </c>
      <c r="F14" t="n">
        <v>0</v>
      </c>
      <c r="G14" t="n">
        <v>2400</v>
      </c>
      <c r="H14" t="n">
        <v>500</v>
      </c>
      <c r="I14" t="n">
        <v>2100</v>
      </c>
      <c r="J14" t="inlineStr">
        <is>
          <t>Plant</t>
        </is>
      </c>
      <c r="K14" t="inlineStr">
        <is>
          <t>Service: CPMS control panel (Niagara JACE / Supervisor); Station: ALT_CP_Ref_V7_9</t>
        </is>
      </c>
    </row>
    <row r="15">
      <c r="A15" t="inlineStr">
        <is>
          <t>AHU-01</t>
        </is>
      </c>
      <c r="B15" t="inlineStr">
        <is>
          <t>ahu</t>
        </is>
      </c>
      <c r="C15" t="n">
        <v>50000</v>
      </c>
      <c r="D15" t="n">
        <v>12500</v>
      </c>
      <c r="E15" t="n">
        <v>0</v>
      </c>
      <c r="F15" t="n">
        <v>0</v>
      </c>
      <c r="G15" t="n">
        <v>3600</v>
      </c>
      <c r="H15" t="n">
        <v>1800</v>
      </c>
      <c r="I15" t="n">
        <v>2100</v>
      </c>
      <c r="J15" t="inlineStr">
        <is>
          <t>AHU01</t>
        </is>
      </c>
      <c r="K15" t="inlineStr">
        <is>
          <t>Type: Air handling unit, CHW coil, VSD fan; Airflow: 12,000 CFM; Serves: Lobby / reception / open office</t>
        </is>
      </c>
    </row>
    <row r="16">
      <c r="A16" t="inlineStr">
        <is>
          <t>AHU-02</t>
        </is>
      </c>
      <c r="B16" t="inlineStr">
        <is>
          <t>ahu</t>
        </is>
      </c>
      <c r="C16" t="n">
        <v>58000</v>
      </c>
      <c r="D16" t="n">
        <v>12500</v>
      </c>
      <c r="E16" t="n">
        <v>0</v>
      </c>
      <c r="F16" t="n">
        <v>0</v>
      </c>
      <c r="G16" t="n">
        <v>3600</v>
      </c>
      <c r="H16" t="n">
        <v>1800</v>
      </c>
      <c r="I16" t="n">
        <v>2100</v>
      </c>
      <c r="J16" t="inlineStr">
        <is>
          <t>AHU02</t>
        </is>
      </c>
      <c r="K16" t="inlineStr">
        <is>
          <t>Type: Air handling unit, CHW coil, VSD fan; Airflow: 12,000 CFM; Serves: Meeting / training / executive</t>
        </is>
      </c>
    </row>
    <row r="17">
      <c r="A17" t="inlineStr">
        <is>
          <t>OAU-01</t>
        </is>
      </c>
      <c r="B17" t="inlineStr">
        <is>
          <t>ahu</t>
        </is>
      </c>
      <c r="C17" t="n">
        <v>50000</v>
      </c>
      <c r="D17" t="n">
        <v>33000</v>
      </c>
      <c r="E17" t="n">
        <v>34900</v>
      </c>
      <c r="F17" t="n">
        <v>0</v>
      </c>
      <c r="G17" t="n">
        <v>4200</v>
      </c>
      <c r="H17" t="n">
        <v>2000</v>
      </c>
      <c r="I17" t="n">
        <v>2200</v>
      </c>
      <c r="J17" t="inlineStr">
        <is>
          <t>OAU01</t>
        </is>
      </c>
      <c r="K17" t="inlineStr">
        <is>
          <t>Type: Outdoor air unit (dew point control)</t>
        </is>
      </c>
    </row>
    <row r="18">
      <c r="A18" t="inlineStr">
        <is>
          <t>FCU-01</t>
        </is>
      </c>
      <c r="B18" t="inlineStr">
        <is>
          <t>fcu</t>
        </is>
      </c>
      <c r="C18" t="n">
        <v>4000</v>
      </c>
      <c r="D18" t="n">
        <v>36500</v>
      </c>
      <c r="E18" t="n">
        <v>4600</v>
      </c>
      <c r="F18" t="n">
        <v>0</v>
      </c>
      <c r="G18" t="n">
        <v>1400</v>
      </c>
      <c r="H18" t="n">
        <v>700</v>
      </c>
      <c r="I18" t="n">
        <v>300</v>
      </c>
      <c r="J18" t="inlineStr">
        <is>
          <t>FCU01</t>
        </is>
      </c>
      <c r="K18" t="inlineStr">
        <is>
          <t>Type: Fan coil unit, 3-speed fan, on/off valve</t>
        </is>
      </c>
    </row>
    <row r="19">
      <c r="A19" t="inlineStr">
        <is>
          <t>FCU-02</t>
        </is>
      </c>
      <c r="B19" t="inlineStr">
        <is>
          <t>fcu</t>
        </is>
      </c>
      <c r="C19" t="n">
        <v>15000</v>
      </c>
      <c r="D19" t="n">
        <v>36500</v>
      </c>
      <c r="E19" t="n">
        <v>4600</v>
      </c>
      <c r="F19" t="n">
        <v>0</v>
      </c>
      <c r="G19" t="n">
        <v>1400</v>
      </c>
      <c r="H19" t="n">
        <v>700</v>
      </c>
      <c r="I19" t="n">
        <v>300</v>
      </c>
      <c r="J19" t="inlineStr">
        <is>
          <t>FCU02</t>
        </is>
      </c>
      <c r="K19" t="inlineStr">
        <is>
          <t>Type: Fan coil unit, 3-speed fan, on/off valve</t>
        </is>
      </c>
    </row>
    <row r="20">
      <c r="A20" t="inlineStr">
        <is>
          <t>FCU-03</t>
        </is>
      </c>
      <c r="B20" t="inlineStr">
        <is>
          <t>fcu</t>
        </is>
      </c>
      <c r="C20" t="n">
        <v>26000</v>
      </c>
      <c r="D20" t="n">
        <v>36500</v>
      </c>
      <c r="E20" t="n">
        <v>4600</v>
      </c>
      <c r="F20" t="n">
        <v>0</v>
      </c>
      <c r="G20" t="n">
        <v>1400</v>
      </c>
      <c r="H20" t="n">
        <v>700</v>
      </c>
      <c r="I20" t="n">
        <v>300</v>
      </c>
      <c r="J20" t="inlineStr">
        <is>
          <t>FCU03</t>
        </is>
      </c>
      <c r="K20" t="inlineStr">
        <is>
          <t>Type: Fan coil unit, 3-speed fan, on/off valve</t>
        </is>
      </c>
    </row>
    <row r="21">
      <c r="A21" t="inlineStr">
        <is>
          <t>FCU-04</t>
        </is>
      </c>
      <c r="B21" t="inlineStr">
        <is>
          <t>fcu</t>
        </is>
      </c>
      <c r="C21" t="n">
        <v>37000</v>
      </c>
      <c r="D21" t="n">
        <v>36500</v>
      </c>
      <c r="E21" t="n">
        <v>4600</v>
      </c>
      <c r="F21" t="n">
        <v>0</v>
      </c>
      <c r="G21" t="n">
        <v>1400</v>
      </c>
      <c r="H21" t="n">
        <v>700</v>
      </c>
      <c r="I21" t="n">
        <v>300</v>
      </c>
      <c r="J21" t="inlineStr">
        <is>
          <t>FCU04</t>
        </is>
      </c>
      <c r="K21" t="inlineStr">
        <is>
          <t>Type: Fan coil unit, 3-speed fan, on/off valve</t>
        </is>
      </c>
    </row>
    <row r="22">
      <c r="A22" t="inlineStr">
        <is>
          <t>AHU-F02</t>
        </is>
      </c>
      <c r="B22" t="inlineStr">
        <is>
          <t>ahu</t>
        </is>
      </c>
      <c r="C22" t="n">
        <v>35000</v>
      </c>
      <c r="D22" t="n">
        <v>17500</v>
      </c>
      <c r="E22" t="n">
        <v>5500</v>
      </c>
      <c r="F22" t="n">
        <v>0</v>
      </c>
      <c r="G22" t="n">
        <v>3600</v>
      </c>
      <c r="H22" t="n">
        <v>1800</v>
      </c>
      <c r="I22" t="n">
        <v>2100</v>
      </c>
      <c r="J22" t="inlineStr">
        <is>
          <t>AHU_F02</t>
        </is>
      </c>
      <c r="K22" t="inlineStr">
        <is>
          <t>Type: Air handling unit, CHW coil, VSD fan; Airflow: 12,000 CFM; Serves: Floor 2 (4 zones)</t>
        </is>
      </c>
    </row>
    <row r="23">
      <c r="A23" t="inlineStr">
        <is>
          <t>AHU-F03</t>
        </is>
      </c>
      <c r="B23" t="inlineStr">
        <is>
          <t>ahu</t>
        </is>
      </c>
      <c r="C23" t="n">
        <v>35000</v>
      </c>
      <c r="D23" t="n">
        <v>17500</v>
      </c>
      <c r="E23" t="n">
        <v>9700</v>
      </c>
      <c r="F23" t="n">
        <v>0</v>
      </c>
      <c r="G23" t="n">
        <v>3600</v>
      </c>
      <c r="H23" t="n">
        <v>1800</v>
      </c>
      <c r="I23" t="n">
        <v>2100</v>
      </c>
      <c r="J23" t="inlineStr">
        <is>
          <t>AHU_F03</t>
        </is>
      </c>
      <c r="K23" t="inlineStr">
        <is>
          <t>Type: Air handling unit, CHW coil, VSD fan; Airflow: 12,000 CFM; Serves: Floor 3 (4 zones)</t>
        </is>
      </c>
    </row>
    <row r="24">
      <c r="A24" t="inlineStr">
        <is>
          <t>AHU-F04</t>
        </is>
      </c>
      <c r="B24" t="inlineStr">
        <is>
          <t>ahu</t>
        </is>
      </c>
      <c r="C24" t="n">
        <v>35000</v>
      </c>
      <c r="D24" t="n">
        <v>17500</v>
      </c>
      <c r="E24" t="n">
        <v>13900</v>
      </c>
      <c r="F24" t="n">
        <v>0</v>
      </c>
      <c r="G24" t="n">
        <v>3600</v>
      </c>
      <c r="H24" t="n">
        <v>1800</v>
      </c>
      <c r="I24" t="n">
        <v>2100</v>
      </c>
      <c r="J24" t="inlineStr">
        <is>
          <t>AHU_F04</t>
        </is>
      </c>
      <c r="K24" t="inlineStr">
        <is>
          <t>Type: Air handling unit, CHW coil, VSD fan; Airflow: 12,000 CFM; Serves: Floor 4 (4 zones)</t>
        </is>
      </c>
    </row>
    <row r="25">
      <c r="A25" t="inlineStr">
        <is>
          <t>AHU-F05</t>
        </is>
      </c>
      <c r="B25" t="inlineStr">
        <is>
          <t>ahu</t>
        </is>
      </c>
      <c r="C25" t="n">
        <v>35000</v>
      </c>
      <c r="D25" t="n">
        <v>17500</v>
      </c>
      <c r="E25" t="n">
        <v>18100</v>
      </c>
      <c r="F25" t="n">
        <v>0</v>
      </c>
      <c r="G25" t="n">
        <v>3600</v>
      </c>
      <c r="H25" t="n">
        <v>1800</v>
      </c>
      <c r="I25" t="n">
        <v>2100</v>
      </c>
      <c r="J25" t="inlineStr">
        <is>
          <t>AHU_F05</t>
        </is>
      </c>
      <c r="K25" t="inlineStr">
        <is>
          <t>Type: Air handling unit, CHW coil, VSD fan; Airflow: 12,000 CFM; Serves: Floor 5 (4 zones)</t>
        </is>
      </c>
    </row>
    <row r="26">
      <c r="A26" t="inlineStr">
        <is>
          <t>AHU-F06</t>
        </is>
      </c>
      <c r="B26" t="inlineStr">
        <is>
          <t>ahu</t>
        </is>
      </c>
      <c r="C26" t="n">
        <v>35000</v>
      </c>
      <c r="D26" t="n">
        <v>17500</v>
      </c>
      <c r="E26" t="n">
        <v>22300</v>
      </c>
      <c r="F26" t="n">
        <v>0</v>
      </c>
      <c r="G26" t="n">
        <v>3600</v>
      </c>
      <c r="H26" t="n">
        <v>1800</v>
      </c>
      <c r="I26" t="n">
        <v>2100</v>
      </c>
      <c r="J26" t="inlineStr">
        <is>
          <t>AHU_F06</t>
        </is>
      </c>
      <c r="K26" t="inlineStr">
        <is>
          <t>Type: Air handling unit, CHW coil, VSD fan; Airflow: 12,000 CFM; Serves: Floor 6 (4 zones)</t>
        </is>
      </c>
    </row>
    <row r="27">
      <c r="A27" t="inlineStr">
        <is>
          <t>AHU-F07</t>
        </is>
      </c>
      <c r="B27" t="inlineStr">
        <is>
          <t>ahu</t>
        </is>
      </c>
      <c r="C27" t="n">
        <v>35000</v>
      </c>
      <c r="D27" t="n">
        <v>17500</v>
      </c>
      <c r="E27" t="n">
        <v>26500</v>
      </c>
      <c r="F27" t="n">
        <v>0</v>
      </c>
      <c r="G27" t="n">
        <v>3600</v>
      </c>
      <c r="H27" t="n">
        <v>1800</v>
      </c>
      <c r="I27" t="n">
        <v>2100</v>
      </c>
      <c r="J27" t="inlineStr">
        <is>
          <t>AHU_F07</t>
        </is>
      </c>
      <c r="K27" t="inlineStr">
        <is>
          <t>Type: Air handling unit, CHW coil, VSD fan; Airflow: 12,000 CFM; Serves: Floor 7 (4 zones)</t>
        </is>
      </c>
    </row>
    <row r="28">
      <c r="A28" t="inlineStr">
        <is>
          <t>AHU-F08</t>
        </is>
      </c>
      <c r="B28" t="inlineStr">
        <is>
          <t>ahu</t>
        </is>
      </c>
      <c r="C28" t="n">
        <v>35000</v>
      </c>
      <c r="D28" t="n">
        <v>17500</v>
      </c>
      <c r="E28" t="n">
        <v>30700</v>
      </c>
      <c r="F28" t="n">
        <v>0</v>
      </c>
      <c r="G28" t="n">
        <v>3600</v>
      </c>
      <c r="H28" t="n">
        <v>1800</v>
      </c>
      <c r="I28" t="n">
        <v>2100</v>
      </c>
      <c r="J28" t="inlineStr">
        <is>
          <t>AHU_F08</t>
        </is>
      </c>
      <c r="K28" t="inlineStr">
        <is>
          <t>Type: Air handling unit, CHW coil, VSD fan; Airflow: 12,000 CFM; Serves: Floor 8 (4 zones)</t>
        </is>
      </c>
    </row>
    <row r="29">
      <c r="A29" t="inlineStr">
        <is>
          <t>EF-01</t>
        </is>
      </c>
      <c r="B29" t="inlineStr">
        <is>
          <t>fan</t>
        </is>
      </c>
      <c r="C29" t="n">
        <v>20000</v>
      </c>
      <c r="D29" t="n">
        <v>30000</v>
      </c>
      <c r="E29" t="n">
        <v>34900</v>
      </c>
      <c r="F29" t="n">
        <v>0</v>
      </c>
      <c r="G29" t="n">
        <v>1200</v>
      </c>
      <c r="H29" t="n">
        <v>1200</v>
      </c>
      <c r="I29" t="n">
        <v>1100</v>
      </c>
      <c r="J29" t="inlineStr">
        <is>
          <t>EF01</t>
        </is>
      </c>
      <c r="K29" t="inlineStr">
        <is>
          <t>Type: Fan</t>
        </is>
      </c>
    </row>
    <row r="30">
      <c r="A30" t="inlineStr">
        <is>
          <t>EF-02</t>
        </is>
      </c>
      <c r="B30" t="inlineStr">
        <is>
          <t>fan</t>
        </is>
      </c>
      <c r="C30" t="n">
        <v>26000</v>
      </c>
      <c r="D30" t="n">
        <v>30000</v>
      </c>
      <c r="E30" t="n">
        <v>34900</v>
      </c>
      <c r="F30" t="n">
        <v>0</v>
      </c>
      <c r="G30" t="n">
        <v>1200</v>
      </c>
      <c r="H30" t="n">
        <v>1200</v>
      </c>
      <c r="I30" t="n">
        <v>1100</v>
      </c>
      <c r="J30" t="inlineStr">
        <is>
          <t>EF02</t>
        </is>
      </c>
      <c r="K30" t="inlineStr">
        <is>
          <t>Type: Fan</t>
        </is>
      </c>
    </row>
    <row r="31">
      <c r="A31" t="inlineStr">
        <is>
          <t>EF-03</t>
        </is>
      </c>
      <c r="B31" t="inlineStr">
        <is>
          <t>fan</t>
        </is>
      </c>
      <c r="C31" t="n">
        <v>42000</v>
      </c>
      <c r="D31" t="n">
        <v>4000</v>
      </c>
      <c r="E31" t="n">
        <v>3800</v>
      </c>
      <c r="F31" t="n">
        <v>0</v>
      </c>
      <c r="G31" t="n">
        <v>1200</v>
      </c>
      <c r="H31" t="n">
        <v>1200</v>
      </c>
      <c r="I31" t="n">
        <v>1100</v>
      </c>
      <c r="J31" t="inlineStr">
        <is>
          <t>EF03</t>
        </is>
      </c>
      <c r="K31" t="inlineStr">
        <is>
          <t>Type: Fan</t>
        </is>
      </c>
    </row>
    <row r="32">
      <c r="A32" t="inlineStr">
        <is>
          <t>CPEF-01</t>
        </is>
      </c>
      <c r="B32" t="inlineStr">
        <is>
          <t>fan</t>
        </is>
      </c>
      <c r="C32" t="n">
        <v>58000</v>
      </c>
      <c r="D32" t="n">
        <v>30000</v>
      </c>
      <c r="E32" t="n">
        <v>34900</v>
      </c>
      <c r="F32" t="n">
        <v>0</v>
      </c>
      <c r="G32" t="n">
        <v>1200</v>
      </c>
      <c r="H32" t="n">
        <v>1200</v>
      </c>
      <c r="I32" t="n">
        <v>1100</v>
      </c>
      <c r="J32" t="inlineStr">
        <is>
          <t>CPEF01</t>
        </is>
      </c>
      <c r="K32" t="inlineStr">
        <is>
          <t>Type: Fan</t>
        </is>
      </c>
    </row>
    <row r="33">
      <c r="A33" t="inlineStr">
        <is>
          <t>LSF-01</t>
        </is>
      </c>
      <c r="B33" t="inlineStr">
        <is>
          <t>fan</t>
        </is>
      </c>
      <c r="C33" t="n">
        <v>44000</v>
      </c>
      <c r="D33" t="n">
        <v>24000</v>
      </c>
      <c r="E33" t="n">
        <v>34900</v>
      </c>
      <c r="F33" t="n">
        <v>0</v>
      </c>
      <c r="G33" t="n">
        <v>1200</v>
      </c>
      <c r="H33" t="n">
        <v>1200</v>
      </c>
      <c r="I33" t="n">
        <v>1100</v>
      </c>
      <c r="J33" t="inlineStr">
        <is>
          <t>LSF01</t>
        </is>
      </c>
      <c r="K33" t="inlineStr">
        <is>
          <t>Type: Fan</t>
        </is>
      </c>
    </row>
    <row r="34">
      <c r="A34" t="inlineStr">
        <is>
          <t>SEF-01</t>
        </is>
      </c>
      <c r="B34" t="inlineStr">
        <is>
          <t>fan</t>
        </is>
      </c>
      <c r="C34" t="n">
        <v>46000</v>
      </c>
      <c r="D34" t="n">
        <v>18000</v>
      </c>
      <c r="E34" t="n">
        <v>34900</v>
      </c>
      <c r="F34" t="n">
        <v>0</v>
      </c>
      <c r="G34" t="n">
        <v>1200</v>
      </c>
      <c r="H34" t="n">
        <v>1200</v>
      </c>
      <c r="I34" t="n">
        <v>1100</v>
      </c>
      <c r="J34" t="inlineStr">
        <is>
          <t>SEF01</t>
        </is>
      </c>
      <c r="K34" t="inlineStr">
        <is>
          <t>Type: Fan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40" customWidth="1" min="4" max="4"/>
    <col width="12" customWidth="1" min="5" max="5"/>
    <col width="30" customWidth="1" min="6" max="6"/>
    <col width="10" customWidth="1" min="7" max="7"/>
    <col width="9" customWidth="1" min="8" max="8"/>
    <col width="10" customWidth="1" min="9" max="9"/>
    <col width="12" customWidth="1" min="10" max="10"/>
    <col width="18" customWidth="1" min="11" max="11"/>
    <col width="8" customWidth="1" min="12" max="12"/>
    <col width="26" customWidth="1" min="13" max="13"/>
  </cols>
  <sheetData>
    <row r="1">
      <c r="A1" s="1" t="inlineStr">
        <is>
          <t>Name</t>
        </is>
      </c>
      <c r="B1" s="1" t="inlineStr">
        <is>
          <t>CreatedBy</t>
        </is>
      </c>
      <c r="C1" s="1" t="inlineStr">
        <is>
          <t>CreatedOn</t>
        </is>
      </c>
      <c r="D1" s="1" t="inlineStr">
        <is>
          <t>TypeName</t>
        </is>
      </c>
      <c r="E1" s="1" t="inlineStr">
        <is>
          <t>Space</t>
        </is>
      </c>
      <c r="F1" s="1" t="inlineStr">
        <is>
          <t>Description</t>
        </is>
      </c>
      <c r="G1" s="1" t="inlineStr">
        <is>
          <t>ExtSystem</t>
        </is>
      </c>
      <c r="H1" s="1" t="inlineStr">
        <is>
          <t>ExtObject</t>
        </is>
      </c>
      <c r="I1" s="1" t="inlineStr">
        <is>
          <t>SerialNumber</t>
        </is>
      </c>
      <c r="J1" s="1" t="inlineStr">
        <is>
          <t>InstallationDate</t>
        </is>
      </c>
      <c r="K1" s="1" t="inlineStr">
        <is>
          <t>TagNumber</t>
        </is>
      </c>
      <c r="L1" s="1" t="inlineStr">
        <is>
          <t>BarCode</t>
        </is>
      </c>
      <c r="M1" s="1" t="inlineStr">
        <is>
          <t>AssetIdentifier</t>
        </is>
      </c>
    </row>
    <row r="2">
      <c r="A2" t="inlineStr">
        <is>
          <t>CH-01</t>
        </is>
      </c>
      <c r="B2" t="inlineStr">
        <is>
          <t>AETERLINK BIM generator</t>
        </is>
      </c>
      <c r="C2" t="inlineStr">
        <is>
          <t>2026-10-08</t>
        </is>
      </c>
      <c r="D2" t="inlineStr">
        <is>
          <t>Water-cooled screw / centrifugal (reference)</t>
        </is>
      </c>
      <c r="E2" t="inlineStr">
        <is>
          <t>Chiller room</t>
        </is>
      </c>
      <c r="F2" t="inlineStr"/>
      <c r="G2" t="inlineStr">
        <is>
          <t>model.py</t>
        </is>
      </c>
      <c r="H2" t="inlineStr">
        <is>
          <t>chiller</t>
        </is>
      </c>
      <c r="I2" t="inlineStr">
        <is>
          <t>n/a</t>
        </is>
      </c>
      <c r="J2" t="inlineStr">
        <is>
          <t>n/a</t>
        </is>
      </c>
      <c r="K2" t="inlineStr">
        <is>
          <t>CH-01</t>
        </is>
      </c>
      <c r="L2" t="inlineStr">
        <is>
          <t>n/a</t>
        </is>
      </c>
      <c r="M2" t="inlineStr">
        <is>
          <t>CH01</t>
        </is>
      </c>
    </row>
    <row r="3">
      <c r="A3" t="inlineStr">
        <is>
          <t>CH-02</t>
        </is>
      </c>
      <c r="B3" t="inlineStr">
        <is>
          <t>AETERLINK BIM generator</t>
        </is>
      </c>
      <c r="C3" t="inlineStr">
        <is>
          <t>2026-10-08</t>
        </is>
      </c>
      <c r="D3" t="inlineStr">
        <is>
          <t>Water-cooled screw / centrifugal (reference)</t>
        </is>
      </c>
      <c r="E3" t="inlineStr">
        <is>
          <t>Chiller room</t>
        </is>
      </c>
      <c r="F3" t="inlineStr"/>
      <c r="G3" t="inlineStr">
        <is>
          <t>model.py</t>
        </is>
      </c>
      <c r="H3" t="inlineStr">
        <is>
          <t>chiller</t>
        </is>
      </c>
      <c r="I3" t="inlineStr">
        <is>
          <t>n/a</t>
        </is>
      </c>
      <c r="J3" t="inlineStr">
        <is>
          <t>n/a</t>
        </is>
      </c>
      <c r="K3" t="inlineStr">
        <is>
          <t>CH-02</t>
        </is>
      </c>
      <c r="L3" t="inlineStr">
        <is>
          <t>n/a</t>
        </is>
      </c>
      <c r="M3" t="inlineStr">
        <is>
          <t>CH02</t>
        </is>
      </c>
    </row>
    <row r="4">
      <c r="A4" t="inlineStr">
        <is>
          <t>CHP-01</t>
        </is>
      </c>
      <c r="B4" t="inlineStr">
        <is>
          <t>AETERLINK BIM generator</t>
        </is>
      </c>
      <c r="C4" t="inlineStr">
        <is>
          <t>2026-10-08</t>
        </is>
      </c>
      <c r="D4" t="inlineStr">
        <is>
          <t>Chilled water pump (primary-variable, headered)</t>
        </is>
      </c>
      <c r="E4" t="inlineStr">
        <is>
          <t>Chiller room</t>
        </is>
      </c>
      <c r="F4" t="inlineStr">
        <is>
          <t>Chilled water pump (primary-variable, headered)</t>
        </is>
      </c>
      <c r="G4" t="inlineStr">
        <is>
          <t>model.py</t>
        </is>
      </c>
      <c r="H4" t="inlineStr">
        <is>
          <t>pump</t>
        </is>
      </c>
      <c r="I4" t="inlineStr">
        <is>
          <t>n/a</t>
        </is>
      </c>
      <c r="J4" t="inlineStr">
        <is>
          <t>n/a</t>
        </is>
      </c>
      <c r="K4" t="inlineStr">
        <is>
          <t>CHP-01</t>
        </is>
      </c>
      <c r="L4" t="inlineStr">
        <is>
          <t>n/a</t>
        </is>
      </c>
      <c r="M4" t="inlineStr">
        <is>
          <t>CHP01</t>
        </is>
      </c>
    </row>
    <row r="5">
      <c r="A5" t="inlineStr">
        <is>
          <t>CHP-02</t>
        </is>
      </c>
      <c r="B5" t="inlineStr">
        <is>
          <t>AETERLINK BIM generator</t>
        </is>
      </c>
      <c r="C5" t="inlineStr">
        <is>
          <t>2026-10-08</t>
        </is>
      </c>
      <c r="D5" t="inlineStr">
        <is>
          <t>Chilled water pump (primary-variable, headered)</t>
        </is>
      </c>
      <c r="E5" t="inlineStr">
        <is>
          <t>Chiller room</t>
        </is>
      </c>
      <c r="F5" t="inlineStr">
        <is>
          <t>Chilled water pump (primary-variable, headered)</t>
        </is>
      </c>
      <c r="G5" t="inlineStr">
        <is>
          <t>model.py</t>
        </is>
      </c>
      <c r="H5" t="inlineStr">
        <is>
          <t>pump</t>
        </is>
      </c>
      <c r="I5" t="inlineStr">
        <is>
          <t>n/a</t>
        </is>
      </c>
      <c r="J5" t="inlineStr">
        <is>
          <t>n/a</t>
        </is>
      </c>
      <c r="K5" t="inlineStr">
        <is>
          <t>CHP-02</t>
        </is>
      </c>
      <c r="L5" t="inlineStr">
        <is>
          <t>n/a</t>
        </is>
      </c>
      <c r="M5" t="inlineStr">
        <is>
          <t>CHP02</t>
        </is>
      </c>
    </row>
    <row r="6">
      <c r="A6" t="inlineStr">
        <is>
          <t>CDP-01</t>
        </is>
      </c>
      <c r="B6" t="inlineStr">
        <is>
          <t>AETERLINK BIM generator</t>
        </is>
      </c>
      <c r="C6" t="inlineStr">
        <is>
          <t>2026-10-08</t>
        </is>
      </c>
      <c r="D6" t="inlineStr">
        <is>
          <t>Condenser water pump (headered)</t>
        </is>
      </c>
      <c r="E6" t="inlineStr">
        <is>
          <t>Chiller room</t>
        </is>
      </c>
      <c r="F6" t="inlineStr">
        <is>
          <t>Condenser water pump (headered)</t>
        </is>
      </c>
      <c r="G6" t="inlineStr">
        <is>
          <t>model.py</t>
        </is>
      </c>
      <c r="H6" t="inlineStr">
        <is>
          <t>pump</t>
        </is>
      </c>
      <c r="I6" t="inlineStr">
        <is>
          <t>n/a</t>
        </is>
      </c>
      <c r="J6" t="inlineStr">
        <is>
          <t>n/a</t>
        </is>
      </c>
      <c r="K6" t="inlineStr">
        <is>
          <t>CDP-01</t>
        </is>
      </c>
      <c r="L6" t="inlineStr">
        <is>
          <t>n/a</t>
        </is>
      </c>
      <c r="M6" t="inlineStr">
        <is>
          <t>CDP01</t>
        </is>
      </c>
    </row>
    <row r="7">
      <c r="A7" t="inlineStr">
        <is>
          <t>CDP-02</t>
        </is>
      </c>
      <c r="B7" t="inlineStr">
        <is>
          <t>AETERLINK BIM generator</t>
        </is>
      </c>
      <c r="C7" t="inlineStr">
        <is>
          <t>2026-10-08</t>
        </is>
      </c>
      <c r="D7" t="inlineStr">
        <is>
          <t>Condenser water pump (headered)</t>
        </is>
      </c>
      <c r="E7" t="inlineStr">
        <is>
          <t>Chiller room</t>
        </is>
      </c>
      <c r="F7" t="inlineStr">
        <is>
          <t>Condenser water pump (headered)</t>
        </is>
      </c>
      <c r="G7" t="inlineStr">
        <is>
          <t>model.py</t>
        </is>
      </c>
      <c r="H7" t="inlineStr">
        <is>
          <t>pump</t>
        </is>
      </c>
      <c r="I7" t="inlineStr">
        <is>
          <t>n/a</t>
        </is>
      </c>
      <c r="J7" t="inlineStr">
        <is>
          <t>n/a</t>
        </is>
      </c>
      <c r="K7" t="inlineStr">
        <is>
          <t>CDP-02</t>
        </is>
      </c>
      <c r="L7" t="inlineStr">
        <is>
          <t>n/a</t>
        </is>
      </c>
      <c r="M7" t="inlineStr">
        <is>
          <t>CDP02</t>
        </is>
      </c>
    </row>
    <row r="8">
      <c r="A8" t="inlineStr">
        <is>
          <t>CT-01/1</t>
        </is>
      </c>
      <c r="B8" t="inlineStr">
        <is>
          <t>AETERLINK BIM generator</t>
        </is>
      </c>
      <c r="C8" t="inlineStr">
        <is>
          <t>2026-10-08</t>
        </is>
      </c>
      <c r="D8" t="inlineStr">
        <is>
          <t>Cooling tower cell, Crossflow, induced draft (FRP)</t>
        </is>
      </c>
      <c r="E8" t="inlineStr">
        <is>
          <t>Roof</t>
        </is>
      </c>
      <c r="F8" t="inlineStr">
        <is>
          <t>Crossflow, induced draft (FRP)</t>
        </is>
      </c>
      <c r="G8" t="inlineStr">
        <is>
          <t>model.py</t>
        </is>
      </c>
      <c r="H8" t="inlineStr">
        <is>
          <t>ct</t>
        </is>
      </c>
      <c r="I8" t="inlineStr">
        <is>
          <t>n/a</t>
        </is>
      </c>
      <c r="J8" t="inlineStr">
        <is>
          <t>n/a</t>
        </is>
      </c>
      <c r="K8" t="inlineStr">
        <is>
          <t>CT-01/1</t>
        </is>
      </c>
      <c r="L8" t="inlineStr">
        <is>
          <t>n/a</t>
        </is>
      </c>
      <c r="M8" t="inlineStr">
        <is>
          <t>CT01_01</t>
        </is>
      </c>
    </row>
    <row r="9">
      <c r="A9" t="inlineStr">
        <is>
          <t>CT-01/2</t>
        </is>
      </c>
      <c r="B9" t="inlineStr">
        <is>
          <t>AETERLINK BIM generator</t>
        </is>
      </c>
      <c r="C9" t="inlineStr">
        <is>
          <t>2026-10-08</t>
        </is>
      </c>
      <c r="D9" t="inlineStr">
        <is>
          <t>Cooling tower cell, Crossflow, induced draft (FRP)</t>
        </is>
      </c>
      <c r="E9" t="inlineStr">
        <is>
          <t>Roof</t>
        </is>
      </c>
      <c r="F9" t="inlineStr">
        <is>
          <t>Crossflow, induced draft (FRP)</t>
        </is>
      </c>
      <c r="G9" t="inlineStr">
        <is>
          <t>model.py</t>
        </is>
      </c>
      <c r="H9" t="inlineStr">
        <is>
          <t>ct</t>
        </is>
      </c>
      <c r="I9" t="inlineStr">
        <is>
          <t>n/a</t>
        </is>
      </c>
      <c r="J9" t="inlineStr">
        <is>
          <t>n/a</t>
        </is>
      </c>
      <c r="K9" t="inlineStr">
        <is>
          <t>CT-01/2</t>
        </is>
      </c>
      <c r="L9" t="inlineStr">
        <is>
          <t>n/a</t>
        </is>
      </c>
      <c r="M9" t="inlineStr">
        <is>
          <t>CT01_02</t>
        </is>
      </c>
    </row>
    <row r="10">
      <c r="A10" t="inlineStr">
        <is>
          <t>CT-02/1</t>
        </is>
      </c>
      <c r="B10" t="inlineStr">
        <is>
          <t>AETERLINK BIM generator</t>
        </is>
      </c>
      <c r="C10" t="inlineStr">
        <is>
          <t>2026-10-08</t>
        </is>
      </c>
      <c r="D10" t="inlineStr">
        <is>
          <t>Cooling tower cell, Crossflow, induced draft (FRP)</t>
        </is>
      </c>
      <c r="E10" t="inlineStr">
        <is>
          <t>Roof</t>
        </is>
      </c>
      <c r="F10" t="inlineStr">
        <is>
          <t>Crossflow, induced draft (FRP)</t>
        </is>
      </c>
      <c r="G10" t="inlineStr">
        <is>
          <t>model.py</t>
        </is>
      </c>
      <c r="H10" t="inlineStr">
        <is>
          <t>ct</t>
        </is>
      </c>
      <c r="I10" t="inlineStr">
        <is>
          <t>n/a</t>
        </is>
      </c>
      <c r="J10" t="inlineStr">
        <is>
          <t>n/a</t>
        </is>
      </c>
      <c r="K10" t="inlineStr">
        <is>
          <t>CT-02/1</t>
        </is>
      </c>
      <c r="L10" t="inlineStr">
        <is>
          <t>n/a</t>
        </is>
      </c>
      <c r="M10" t="inlineStr">
        <is>
          <t>CT02_01</t>
        </is>
      </c>
    </row>
    <row r="11">
      <c r="A11" t="inlineStr">
        <is>
          <t>CT-02/2</t>
        </is>
      </c>
      <c r="B11" t="inlineStr">
        <is>
          <t>AETERLINK BIM generator</t>
        </is>
      </c>
      <c r="C11" t="inlineStr">
        <is>
          <t>2026-10-08</t>
        </is>
      </c>
      <c r="D11" t="inlineStr">
        <is>
          <t>Cooling tower cell, Crossflow, induced draft (FRP)</t>
        </is>
      </c>
      <c r="E11" t="inlineStr">
        <is>
          <t>Roof</t>
        </is>
      </c>
      <c r="F11" t="inlineStr">
        <is>
          <t>Crossflow, induced draft (FRP)</t>
        </is>
      </c>
      <c r="G11" t="inlineStr">
        <is>
          <t>model.py</t>
        </is>
      </c>
      <c r="H11" t="inlineStr">
        <is>
          <t>ct</t>
        </is>
      </c>
      <c r="I11" t="inlineStr">
        <is>
          <t>n/a</t>
        </is>
      </c>
      <c r="J11" t="inlineStr">
        <is>
          <t>n/a</t>
        </is>
      </c>
      <c r="K11" t="inlineStr">
        <is>
          <t>CT-02/2</t>
        </is>
      </c>
      <c r="L11" t="inlineStr">
        <is>
          <t>n/a</t>
        </is>
      </c>
      <c r="M11" t="inlineStr">
        <is>
          <t>CT02_02</t>
        </is>
      </c>
    </row>
    <row r="12">
      <c r="A12" t="inlineStr">
        <is>
          <t>ET-01</t>
        </is>
      </c>
      <c r="B12" t="inlineStr">
        <is>
          <t>AETERLINK BIM generator</t>
        </is>
      </c>
      <c r="C12" t="inlineStr">
        <is>
          <t>2026-10-08</t>
        </is>
      </c>
      <c r="D12" t="inlineStr">
        <is>
          <t>Expansion tank</t>
        </is>
      </c>
      <c r="E12" t="inlineStr">
        <is>
          <t>Chiller room</t>
        </is>
      </c>
      <c r="F12" t="inlineStr">
        <is>
          <t>Expansion tank</t>
        </is>
      </c>
      <c r="G12" t="inlineStr">
        <is>
          <t>model.py</t>
        </is>
      </c>
      <c r="H12" t="inlineStr">
        <is>
          <t>exptank</t>
        </is>
      </c>
      <c r="I12" t="inlineStr">
        <is>
          <t>n/a</t>
        </is>
      </c>
      <c r="J12" t="inlineStr">
        <is>
          <t>n/a</t>
        </is>
      </c>
      <c r="K12" t="inlineStr">
        <is>
          <t>ET-01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DPB-01</t>
        </is>
      </c>
      <c r="B13" t="inlineStr">
        <is>
          <t>AETERLINK BIM generator</t>
        </is>
      </c>
      <c r="C13" t="inlineStr">
        <is>
          <t>2026-10-08</t>
        </is>
      </c>
      <c r="D13" t="inlineStr">
        <is>
          <t>CHW minimum-flow bypass</t>
        </is>
      </c>
      <c r="E13" t="inlineStr">
        <is>
          <t>Chiller room</t>
        </is>
      </c>
      <c r="F13" t="inlineStr">
        <is>
          <t>CHW minimum-flow bypass</t>
        </is>
      </c>
      <c r="G13" t="inlineStr">
        <is>
          <t>model.py</t>
        </is>
      </c>
      <c r="H13" t="inlineStr">
        <is>
          <t>bypass</t>
        </is>
      </c>
      <c r="I13" t="inlineStr">
        <is>
          <t>n/a</t>
        </is>
      </c>
      <c r="J13" t="inlineStr">
        <is>
          <t>n/a</t>
        </is>
      </c>
      <c r="K13" t="inlineStr">
        <is>
          <t>DPB-01</t>
        </is>
      </c>
      <c r="L13" t="inlineStr">
        <is>
          <t>n/a</t>
        </is>
      </c>
      <c r="M13" t="inlineStr">
        <is>
          <t>Byp</t>
        </is>
      </c>
    </row>
    <row r="14">
      <c r="A14" t="inlineStr">
        <is>
          <t>CP-01</t>
        </is>
      </c>
      <c r="B14" t="inlineStr">
        <is>
          <t>AETERLINK BIM generator</t>
        </is>
      </c>
      <c r="C14" t="inlineStr">
        <is>
          <t>2026-10-08</t>
        </is>
      </c>
      <c r="D14" t="inlineStr">
        <is>
          <t>CPMS control panel (Niagara JACE / Supervisor)</t>
        </is>
      </c>
      <c r="E14" t="inlineStr">
        <is>
          <t>Chiller room</t>
        </is>
      </c>
      <c r="F14" t="inlineStr">
        <is>
          <t>CPMS control panel (Niagara JACE / Supervisor)</t>
        </is>
      </c>
      <c r="G14" t="inlineStr">
        <is>
          <t>model.py</t>
        </is>
      </c>
      <c r="H14" t="inlineStr">
        <is>
          <t>panel</t>
        </is>
      </c>
      <c r="I14" t="inlineStr">
        <is>
          <t>n/a</t>
        </is>
      </c>
      <c r="J14" t="inlineStr">
        <is>
          <t>n/a</t>
        </is>
      </c>
      <c r="K14" t="inlineStr">
        <is>
          <t>CP-01</t>
        </is>
      </c>
      <c r="L14" t="inlineStr">
        <is>
          <t>n/a</t>
        </is>
      </c>
      <c r="M14" t="inlineStr">
        <is>
          <t>Plant</t>
        </is>
      </c>
    </row>
    <row r="15">
      <c r="A15" t="inlineStr">
        <is>
          <t>AHU-01</t>
        </is>
      </c>
      <c r="B15" t="inlineStr">
        <is>
          <t>AETERLINK BIM generator</t>
        </is>
      </c>
      <c r="C15" t="inlineStr">
        <is>
          <t>2026-10-08</t>
        </is>
      </c>
      <c r="D15" t="inlineStr">
        <is>
          <t>Cooling tower cell, Air handling unit, CHW coil, VSD fan</t>
        </is>
      </c>
      <c r="E15" t="inlineStr">
        <is>
          <t>Chiller room</t>
        </is>
      </c>
      <c r="F15" t="inlineStr">
        <is>
          <t>Air handling unit, CHW coil, VSD fan</t>
        </is>
      </c>
      <c r="G15" t="inlineStr">
        <is>
          <t>model.py</t>
        </is>
      </c>
      <c r="H15" t="inlineStr">
        <is>
          <t>ahu</t>
        </is>
      </c>
      <c r="I15" t="inlineStr">
        <is>
          <t>n/a</t>
        </is>
      </c>
      <c r="J15" t="inlineStr">
        <is>
          <t>n/a</t>
        </is>
      </c>
      <c r="K15" t="inlineStr">
        <is>
          <t>AHU-01</t>
        </is>
      </c>
      <c r="L15" t="inlineStr">
        <is>
          <t>n/a</t>
        </is>
      </c>
      <c r="M15" t="inlineStr">
        <is>
          <t>AHU01</t>
        </is>
      </c>
    </row>
    <row r="16">
      <c r="A16" t="inlineStr">
        <is>
          <t>AHU-02</t>
        </is>
      </c>
      <c r="B16" t="inlineStr">
        <is>
          <t>AETERLINK BIM generator</t>
        </is>
      </c>
      <c r="C16" t="inlineStr">
        <is>
          <t>2026-10-08</t>
        </is>
      </c>
      <c r="D16" t="inlineStr">
        <is>
          <t>Cooling tower cell, Air handling unit, CHW coil, VSD fan</t>
        </is>
      </c>
      <c r="E16" t="inlineStr">
        <is>
          <t>Chiller room</t>
        </is>
      </c>
      <c r="F16" t="inlineStr">
        <is>
          <t>Air handling unit, CHW coil, VSD fan</t>
        </is>
      </c>
      <c r="G16" t="inlineStr">
        <is>
          <t>model.py</t>
        </is>
      </c>
      <c r="H16" t="inlineStr">
        <is>
          <t>ahu</t>
        </is>
      </c>
      <c r="I16" t="inlineStr">
        <is>
          <t>n/a</t>
        </is>
      </c>
      <c r="J16" t="inlineStr">
        <is>
          <t>n/a</t>
        </is>
      </c>
      <c r="K16" t="inlineStr">
        <is>
          <t>AHU-02</t>
        </is>
      </c>
      <c r="L16" t="inlineStr">
        <is>
          <t>n/a</t>
        </is>
      </c>
      <c r="M16" t="inlineStr">
        <is>
          <t>AHU02</t>
        </is>
      </c>
    </row>
    <row r="17">
      <c r="A17" t="inlineStr">
        <is>
          <t>OAU-01</t>
        </is>
      </c>
      <c r="B17" t="inlineStr">
        <is>
          <t>AETERLINK BIM generator</t>
        </is>
      </c>
      <c r="C17" t="inlineStr">
        <is>
          <t>2026-10-08</t>
        </is>
      </c>
      <c r="D17" t="inlineStr">
        <is>
          <t>Cooling tower cell, Outdoor air unit (dew point control)</t>
        </is>
      </c>
      <c r="E17" t="inlineStr">
        <is>
          <t>Chiller room</t>
        </is>
      </c>
      <c r="F17" t="inlineStr">
        <is>
          <t>Outdoor air unit (dew point control)</t>
        </is>
      </c>
      <c r="G17" t="inlineStr">
        <is>
          <t>model.py</t>
        </is>
      </c>
      <c r="H17" t="inlineStr">
        <is>
          <t>ahu</t>
        </is>
      </c>
      <c r="I17" t="inlineStr">
        <is>
          <t>n/a</t>
        </is>
      </c>
      <c r="J17" t="inlineStr">
        <is>
          <t>n/a</t>
        </is>
      </c>
      <c r="K17" t="inlineStr">
        <is>
          <t>OAU-01</t>
        </is>
      </c>
      <c r="L17" t="inlineStr">
        <is>
          <t>n/a</t>
        </is>
      </c>
      <c r="M17" t="inlineStr">
        <is>
          <t>OAU01</t>
        </is>
      </c>
    </row>
    <row r="18">
      <c r="A18" t="inlineStr">
        <is>
          <t>FCU-01</t>
        </is>
      </c>
      <c r="B18" t="inlineStr">
        <is>
          <t>AETERLINK BIM generator</t>
        </is>
      </c>
      <c r="C18" t="inlineStr">
        <is>
          <t>2026-10-08</t>
        </is>
      </c>
      <c r="D18" t="inlineStr">
        <is>
          <t>Cooling tower cell, Fan coil unit, 3-speed fan, on/off valve</t>
        </is>
      </c>
      <c r="E18" t="inlineStr">
        <is>
          <t>Chiller room</t>
        </is>
      </c>
      <c r="F18" t="inlineStr">
        <is>
          <t>Fan coil unit, 3-speed fan, on/off valve</t>
        </is>
      </c>
      <c r="G18" t="inlineStr">
        <is>
          <t>model.py</t>
        </is>
      </c>
      <c r="H18" t="inlineStr">
        <is>
          <t>fcu</t>
        </is>
      </c>
      <c r="I18" t="inlineStr">
        <is>
          <t>n/a</t>
        </is>
      </c>
      <c r="J18" t="inlineStr">
        <is>
          <t>n/a</t>
        </is>
      </c>
      <c r="K18" t="inlineStr">
        <is>
          <t>FCU-01</t>
        </is>
      </c>
      <c r="L18" t="inlineStr">
        <is>
          <t>n/a</t>
        </is>
      </c>
      <c r="M18" t="inlineStr">
        <is>
          <t>FCU01</t>
        </is>
      </c>
    </row>
    <row r="19">
      <c r="A19" t="inlineStr">
        <is>
          <t>FCU-02</t>
        </is>
      </c>
      <c r="B19" t="inlineStr">
        <is>
          <t>AETERLINK BIM generator</t>
        </is>
      </c>
      <c r="C19" t="inlineStr">
        <is>
          <t>2026-10-08</t>
        </is>
      </c>
      <c r="D19" t="inlineStr">
        <is>
          <t>Cooling tower cell, Fan coil unit, 3-speed fan, on/off valve</t>
        </is>
      </c>
      <c r="E19" t="inlineStr">
        <is>
          <t>Chiller room</t>
        </is>
      </c>
      <c r="F19" t="inlineStr">
        <is>
          <t>Fan coil unit, 3-speed fan, on/off valve</t>
        </is>
      </c>
      <c r="G19" t="inlineStr">
        <is>
          <t>model.py</t>
        </is>
      </c>
      <c r="H19" t="inlineStr">
        <is>
          <t>fcu</t>
        </is>
      </c>
      <c r="I19" t="inlineStr">
        <is>
          <t>n/a</t>
        </is>
      </c>
      <c r="J19" t="inlineStr">
        <is>
          <t>n/a</t>
        </is>
      </c>
      <c r="K19" t="inlineStr">
        <is>
          <t>FCU-02</t>
        </is>
      </c>
      <c r="L19" t="inlineStr">
        <is>
          <t>n/a</t>
        </is>
      </c>
      <c r="M19" t="inlineStr">
        <is>
          <t>FCU02</t>
        </is>
      </c>
    </row>
    <row r="20">
      <c r="A20" t="inlineStr">
        <is>
          <t>FCU-03</t>
        </is>
      </c>
      <c r="B20" t="inlineStr">
        <is>
          <t>AETERLINK BIM generator</t>
        </is>
      </c>
      <c r="C20" t="inlineStr">
        <is>
          <t>2026-10-08</t>
        </is>
      </c>
      <c r="D20" t="inlineStr">
        <is>
          <t>Cooling tower cell, Fan coil unit, 3-speed fan, on/off valve</t>
        </is>
      </c>
      <c r="E20" t="inlineStr">
        <is>
          <t>Chiller room</t>
        </is>
      </c>
      <c r="F20" t="inlineStr">
        <is>
          <t>Fan coil unit, 3-speed fan, on/off valve</t>
        </is>
      </c>
      <c r="G20" t="inlineStr">
        <is>
          <t>model.py</t>
        </is>
      </c>
      <c r="H20" t="inlineStr">
        <is>
          <t>fcu</t>
        </is>
      </c>
      <c r="I20" t="inlineStr">
        <is>
          <t>n/a</t>
        </is>
      </c>
      <c r="J20" t="inlineStr">
        <is>
          <t>n/a</t>
        </is>
      </c>
      <c r="K20" t="inlineStr">
        <is>
          <t>FCU-03</t>
        </is>
      </c>
      <c r="L20" t="inlineStr">
        <is>
          <t>n/a</t>
        </is>
      </c>
      <c r="M20" t="inlineStr">
        <is>
          <t>FCU03</t>
        </is>
      </c>
    </row>
    <row r="21">
      <c r="A21" t="inlineStr">
        <is>
          <t>FCU-04</t>
        </is>
      </c>
      <c r="B21" t="inlineStr">
        <is>
          <t>AETERLINK BIM generator</t>
        </is>
      </c>
      <c r="C21" t="inlineStr">
        <is>
          <t>2026-10-08</t>
        </is>
      </c>
      <c r="D21" t="inlineStr">
        <is>
          <t>Cooling tower cell, Fan coil unit, 3-speed fan, on/off valve</t>
        </is>
      </c>
      <c r="E21" t="inlineStr">
        <is>
          <t>Chiller room</t>
        </is>
      </c>
      <c r="F21" t="inlineStr">
        <is>
          <t>Fan coil unit, 3-speed fan, on/off valve</t>
        </is>
      </c>
      <c r="G21" t="inlineStr">
        <is>
          <t>model.py</t>
        </is>
      </c>
      <c r="H21" t="inlineStr">
        <is>
          <t>fcu</t>
        </is>
      </c>
      <c r="I21" t="inlineStr">
        <is>
          <t>n/a</t>
        </is>
      </c>
      <c r="J21" t="inlineStr">
        <is>
          <t>n/a</t>
        </is>
      </c>
      <c r="K21" t="inlineStr">
        <is>
          <t>FCU-04</t>
        </is>
      </c>
      <c r="L21" t="inlineStr">
        <is>
          <t>n/a</t>
        </is>
      </c>
      <c r="M21" t="inlineStr">
        <is>
          <t>FCU04</t>
        </is>
      </c>
    </row>
    <row r="22">
      <c r="A22" t="inlineStr">
        <is>
          <t>AHU-F02</t>
        </is>
      </c>
      <c r="B22" t="inlineStr">
        <is>
          <t>AETERLINK BIM generator</t>
        </is>
      </c>
      <c r="C22" t="inlineStr">
        <is>
          <t>2026-10-08</t>
        </is>
      </c>
      <c r="D22" t="inlineStr">
        <is>
          <t>Cooling tower cell, Air handling unit, CHW coil, VSD fan</t>
        </is>
      </c>
      <c r="E22" t="inlineStr">
        <is>
          <t>Chiller room</t>
        </is>
      </c>
      <c r="F22" t="inlineStr">
        <is>
          <t>Air handling unit, CHW coil, VSD fan</t>
        </is>
      </c>
      <c r="G22" t="inlineStr">
        <is>
          <t>model.py</t>
        </is>
      </c>
      <c r="H22" t="inlineStr">
        <is>
          <t>ahu</t>
        </is>
      </c>
      <c r="I22" t="inlineStr">
        <is>
          <t>n/a</t>
        </is>
      </c>
      <c r="J22" t="inlineStr">
        <is>
          <t>n/a</t>
        </is>
      </c>
      <c r="K22" t="inlineStr">
        <is>
          <t>AHU-F02</t>
        </is>
      </c>
      <c r="L22" t="inlineStr">
        <is>
          <t>n/a</t>
        </is>
      </c>
      <c r="M22" t="inlineStr">
        <is>
          <t>AHU_F02</t>
        </is>
      </c>
    </row>
    <row r="23">
      <c r="A23" t="inlineStr">
        <is>
          <t>AHU-F03</t>
        </is>
      </c>
      <c r="B23" t="inlineStr">
        <is>
          <t>AETERLINK BIM generator</t>
        </is>
      </c>
      <c r="C23" t="inlineStr">
        <is>
          <t>2026-10-08</t>
        </is>
      </c>
      <c r="D23" t="inlineStr">
        <is>
          <t>Cooling tower cell, Air handling unit, CHW coil, VSD fan</t>
        </is>
      </c>
      <c r="E23" t="inlineStr">
        <is>
          <t>Chiller room</t>
        </is>
      </c>
      <c r="F23" t="inlineStr">
        <is>
          <t>Air handling unit, CHW coil, VSD fan</t>
        </is>
      </c>
      <c r="G23" t="inlineStr">
        <is>
          <t>model.py</t>
        </is>
      </c>
      <c r="H23" t="inlineStr">
        <is>
          <t>ahu</t>
        </is>
      </c>
      <c r="I23" t="inlineStr">
        <is>
          <t>n/a</t>
        </is>
      </c>
      <c r="J23" t="inlineStr">
        <is>
          <t>n/a</t>
        </is>
      </c>
      <c r="K23" t="inlineStr">
        <is>
          <t>AHU-F03</t>
        </is>
      </c>
      <c r="L23" t="inlineStr">
        <is>
          <t>n/a</t>
        </is>
      </c>
      <c r="M23" t="inlineStr">
        <is>
          <t>AHU_F03</t>
        </is>
      </c>
    </row>
    <row r="24">
      <c r="A24" t="inlineStr">
        <is>
          <t>AHU-F04</t>
        </is>
      </c>
      <c r="B24" t="inlineStr">
        <is>
          <t>AETERLINK BIM generator</t>
        </is>
      </c>
      <c r="C24" t="inlineStr">
        <is>
          <t>2026-10-08</t>
        </is>
      </c>
      <c r="D24" t="inlineStr">
        <is>
          <t>Cooling tower cell, Air handling unit, CHW coil, VSD fan</t>
        </is>
      </c>
      <c r="E24" t="inlineStr">
        <is>
          <t>Chiller room</t>
        </is>
      </c>
      <c r="F24" t="inlineStr">
        <is>
          <t>Air handling unit, CHW coil, VSD fan</t>
        </is>
      </c>
      <c r="G24" t="inlineStr">
        <is>
          <t>model.py</t>
        </is>
      </c>
      <c r="H24" t="inlineStr">
        <is>
          <t>ahu</t>
        </is>
      </c>
      <c r="I24" t="inlineStr">
        <is>
          <t>n/a</t>
        </is>
      </c>
      <c r="J24" t="inlineStr">
        <is>
          <t>n/a</t>
        </is>
      </c>
      <c r="K24" t="inlineStr">
        <is>
          <t>AHU-F04</t>
        </is>
      </c>
      <c r="L24" t="inlineStr">
        <is>
          <t>n/a</t>
        </is>
      </c>
      <c r="M24" t="inlineStr">
        <is>
          <t>AHU_F04</t>
        </is>
      </c>
    </row>
    <row r="25">
      <c r="A25" t="inlineStr">
        <is>
          <t>AHU-F05</t>
        </is>
      </c>
      <c r="B25" t="inlineStr">
        <is>
          <t>AETERLINK BIM generator</t>
        </is>
      </c>
      <c r="C25" t="inlineStr">
        <is>
          <t>2026-10-08</t>
        </is>
      </c>
      <c r="D25" t="inlineStr">
        <is>
          <t>Cooling tower cell, Air handling unit, CHW coil, VSD fan</t>
        </is>
      </c>
      <c r="E25" t="inlineStr">
        <is>
          <t>Chiller room</t>
        </is>
      </c>
      <c r="F25" t="inlineStr">
        <is>
          <t>Air handling unit, CHW coil, VSD fan</t>
        </is>
      </c>
      <c r="G25" t="inlineStr">
        <is>
          <t>model.py</t>
        </is>
      </c>
      <c r="H25" t="inlineStr">
        <is>
          <t>ahu</t>
        </is>
      </c>
      <c r="I25" t="inlineStr">
        <is>
          <t>n/a</t>
        </is>
      </c>
      <c r="J25" t="inlineStr">
        <is>
          <t>n/a</t>
        </is>
      </c>
      <c r="K25" t="inlineStr">
        <is>
          <t>AHU-F05</t>
        </is>
      </c>
      <c r="L25" t="inlineStr">
        <is>
          <t>n/a</t>
        </is>
      </c>
      <c r="M25" t="inlineStr">
        <is>
          <t>AHU_F05</t>
        </is>
      </c>
    </row>
    <row r="26">
      <c r="A26" t="inlineStr">
        <is>
          <t>AHU-F06</t>
        </is>
      </c>
      <c r="B26" t="inlineStr">
        <is>
          <t>AETERLINK BIM generator</t>
        </is>
      </c>
      <c r="C26" t="inlineStr">
        <is>
          <t>2026-10-08</t>
        </is>
      </c>
      <c r="D26" t="inlineStr">
        <is>
          <t>Cooling tower cell, Air handling unit, CHW coil, VSD fan</t>
        </is>
      </c>
      <c r="E26" t="inlineStr">
        <is>
          <t>Chiller room</t>
        </is>
      </c>
      <c r="F26" t="inlineStr">
        <is>
          <t>Air handling unit, CHW coil, VSD fan</t>
        </is>
      </c>
      <c r="G26" t="inlineStr">
        <is>
          <t>model.py</t>
        </is>
      </c>
      <c r="H26" t="inlineStr">
        <is>
          <t>ahu</t>
        </is>
      </c>
      <c r="I26" t="inlineStr">
        <is>
          <t>n/a</t>
        </is>
      </c>
      <c r="J26" t="inlineStr">
        <is>
          <t>n/a</t>
        </is>
      </c>
      <c r="K26" t="inlineStr">
        <is>
          <t>AHU-F06</t>
        </is>
      </c>
      <c r="L26" t="inlineStr">
        <is>
          <t>n/a</t>
        </is>
      </c>
      <c r="M26" t="inlineStr">
        <is>
          <t>AHU_F06</t>
        </is>
      </c>
    </row>
    <row r="27">
      <c r="A27" t="inlineStr">
        <is>
          <t>AHU-F07</t>
        </is>
      </c>
      <c r="B27" t="inlineStr">
        <is>
          <t>AETERLINK BIM generator</t>
        </is>
      </c>
      <c r="C27" t="inlineStr">
        <is>
          <t>2026-10-08</t>
        </is>
      </c>
      <c r="D27" t="inlineStr">
        <is>
          <t>Cooling tower cell, Air handling unit, CHW coil, VSD fan</t>
        </is>
      </c>
      <c r="E27" t="inlineStr">
        <is>
          <t>Chiller room</t>
        </is>
      </c>
      <c r="F27" t="inlineStr">
        <is>
          <t>Air handling unit, CHW coil, VSD fan</t>
        </is>
      </c>
      <c r="G27" t="inlineStr">
        <is>
          <t>model.py</t>
        </is>
      </c>
      <c r="H27" t="inlineStr">
        <is>
          <t>ahu</t>
        </is>
      </c>
      <c r="I27" t="inlineStr">
        <is>
          <t>n/a</t>
        </is>
      </c>
      <c r="J27" t="inlineStr">
        <is>
          <t>n/a</t>
        </is>
      </c>
      <c r="K27" t="inlineStr">
        <is>
          <t>AHU-F07</t>
        </is>
      </c>
      <c r="L27" t="inlineStr">
        <is>
          <t>n/a</t>
        </is>
      </c>
      <c r="M27" t="inlineStr">
        <is>
          <t>AHU_F07</t>
        </is>
      </c>
    </row>
    <row r="28">
      <c r="A28" t="inlineStr">
        <is>
          <t>AHU-F08</t>
        </is>
      </c>
      <c r="B28" t="inlineStr">
        <is>
          <t>AETERLINK BIM generator</t>
        </is>
      </c>
      <c r="C28" t="inlineStr">
        <is>
          <t>2026-10-08</t>
        </is>
      </c>
      <c r="D28" t="inlineStr">
        <is>
          <t>Cooling tower cell, Air handling unit, CHW coil, VSD fan</t>
        </is>
      </c>
      <c r="E28" t="inlineStr">
        <is>
          <t>Chiller room</t>
        </is>
      </c>
      <c r="F28" t="inlineStr">
        <is>
          <t>Air handling unit, CHW coil, VSD fan</t>
        </is>
      </c>
      <c r="G28" t="inlineStr">
        <is>
          <t>model.py</t>
        </is>
      </c>
      <c r="H28" t="inlineStr">
        <is>
          <t>ahu</t>
        </is>
      </c>
      <c r="I28" t="inlineStr">
        <is>
          <t>n/a</t>
        </is>
      </c>
      <c r="J28" t="inlineStr">
        <is>
          <t>n/a</t>
        </is>
      </c>
      <c r="K28" t="inlineStr">
        <is>
          <t>AHU-F08</t>
        </is>
      </c>
      <c r="L28" t="inlineStr">
        <is>
          <t>n/a</t>
        </is>
      </c>
      <c r="M28" t="inlineStr">
        <is>
          <t>AHU_F08</t>
        </is>
      </c>
    </row>
    <row r="29">
      <c r="A29" t="inlineStr">
        <is>
          <t>EF-01</t>
        </is>
      </c>
      <c r="B29" t="inlineStr">
        <is>
          <t>AETERLINK BIM generator</t>
        </is>
      </c>
      <c r="C29" t="inlineStr">
        <is>
          <t>2026-10-08</t>
        </is>
      </c>
      <c r="D29" t="inlineStr">
        <is>
          <t>Cooling tower cell, Fan</t>
        </is>
      </c>
      <c r="E29" t="inlineStr">
        <is>
          <t>Chiller room</t>
        </is>
      </c>
      <c r="F29" t="inlineStr">
        <is>
          <t>Fan</t>
        </is>
      </c>
      <c r="G29" t="inlineStr">
        <is>
          <t>model.py</t>
        </is>
      </c>
      <c r="H29" t="inlineStr">
        <is>
          <t>fan</t>
        </is>
      </c>
      <c r="I29" t="inlineStr">
        <is>
          <t>n/a</t>
        </is>
      </c>
      <c r="J29" t="inlineStr">
        <is>
          <t>n/a</t>
        </is>
      </c>
      <c r="K29" t="inlineStr">
        <is>
          <t>EF-01</t>
        </is>
      </c>
      <c r="L29" t="inlineStr">
        <is>
          <t>n/a</t>
        </is>
      </c>
      <c r="M29" t="inlineStr">
        <is>
          <t>EF01</t>
        </is>
      </c>
    </row>
    <row r="30">
      <c r="A30" t="inlineStr">
        <is>
          <t>EF-02</t>
        </is>
      </c>
      <c r="B30" t="inlineStr">
        <is>
          <t>AETERLINK BIM generator</t>
        </is>
      </c>
      <c r="C30" t="inlineStr">
        <is>
          <t>2026-10-08</t>
        </is>
      </c>
      <c r="D30" t="inlineStr">
        <is>
          <t>Cooling tower cell, Fan</t>
        </is>
      </c>
      <c r="E30" t="inlineStr">
        <is>
          <t>Chiller room</t>
        </is>
      </c>
      <c r="F30" t="inlineStr">
        <is>
          <t>Fan</t>
        </is>
      </c>
      <c r="G30" t="inlineStr">
        <is>
          <t>model.py</t>
        </is>
      </c>
      <c r="H30" t="inlineStr">
        <is>
          <t>fan</t>
        </is>
      </c>
      <c r="I30" t="inlineStr">
        <is>
          <t>n/a</t>
        </is>
      </c>
      <c r="J30" t="inlineStr">
        <is>
          <t>n/a</t>
        </is>
      </c>
      <c r="K30" t="inlineStr">
        <is>
          <t>EF-02</t>
        </is>
      </c>
      <c r="L30" t="inlineStr">
        <is>
          <t>n/a</t>
        </is>
      </c>
      <c r="M30" t="inlineStr">
        <is>
          <t>EF02</t>
        </is>
      </c>
    </row>
    <row r="31">
      <c r="A31" t="inlineStr">
        <is>
          <t>EF-03</t>
        </is>
      </c>
      <c r="B31" t="inlineStr">
        <is>
          <t>AETERLINK BIM generator</t>
        </is>
      </c>
      <c r="C31" t="inlineStr">
        <is>
          <t>2026-10-08</t>
        </is>
      </c>
      <c r="D31" t="inlineStr">
        <is>
          <t>Cooling tower cell, Fan</t>
        </is>
      </c>
      <c r="E31" t="inlineStr">
        <is>
          <t>Chiller room</t>
        </is>
      </c>
      <c r="F31" t="inlineStr">
        <is>
          <t>Fan</t>
        </is>
      </c>
      <c r="G31" t="inlineStr">
        <is>
          <t>model.py</t>
        </is>
      </c>
      <c r="H31" t="inlineStr">
        <is>
          <t>fan</t>
        </is>
      </c>
      <c r="I31" t="inlineStr">
        <is>
          <t>n/a</t>
        </is>
      </c>
      <c r="J31" t="inlineStr">
        <is>
          <t>n/a</t>
        </is>
      </c>
      <c r="K31" t="inlineStr">
        <is>
          <t>EF-03</t>
        </is>
      </c>
      <c r="L31" t="inlineStr">
        <is>
          <t>n/a</t>
        </is>
      </c>
      <c r="M31" t="inlineStr">
        <is>
          <t>EF03</t>
        </is>
      </c>
    </row>
    <row r="32">
      <c r="A32" t="inlineStr">
        <is>
          <t>CPEF-01</t>
        </is>
      </c>
      <c r="B32" t="inlineStr">
        <is>
          <t>AETERLINK BIM generator</t>
        </is>
      </c>
      <c r="C32" t="inlineStr">
        <is>
          <t>2026-10-08</t>
        </is>
      </c>
      <c r="D32" t="inlineStr">
        <is>
          <t>Cooling tower cell, Fan</t>
        </is>
      </c>
      <c r="E32" t="inlineStr">
        <is>
          <t>Chiller room</t>
        </is>
      </c>
      <c r="F32" t="inlineStr">
        <is>
          <t>Fan</t>
        </is>
      </c>
      <c r="G32" t="inlineStr">
        <is>
          <t>model.py</t>
        </is>
      </c>
      <c r="H32" t="inlineStr">
        <is>
          <t>fan</t>
        </is>
      </c>
      <c r="I32" t="inlineStr">
        <is>
          <t>n/a</t>
        </is>
      </c>
      <c r="J32" t="inlineStr">
        <is>
          <t>n/a</t>
        </is>
      </c>
      <c r="K32" t="inlineStr">
        <is>
          <t>CPEF-01</t>
        </is>
      </c>
      <c r="L32" t="inlineStr">
        <is>
          <t>n/a</t>
        </is>
      </c>
      <c r="M32" t="inlineStr">
        <is>
          <t>CPEF01</t>
        </is>
      </c>
    </row>
    <row r="33">
      <c r="A33" t="inlineStr">
        <is>
          <t>LSF-01</t>
        </is>
      </c>
      <c r="B33" t="inlineStr">
        <is>
          <t>AETERLINK BIM generator</t>
        </is>
      </c>
      <c r="C33" t="inlineStr">
        <is>
          <t>2026-10-08</t>
        </is>
      </c>
      <c r="D33" t="inlineStr">
        <is>
          <t>Cooling tower cell, Fan</t>
        </is>
      </c>
      <c r="E33" t="inlineStr">
        <is>
          <t>Chiller room</t>
        </is>
      </c>
      <c r="F33" t="inlineStr">
        <is>
          <t>Fan</t>
        </is>
      </c>
      <c r="G33" t="inlineStr">
        <is>
          <t>model.py</t>
        </is>
      </c>
      <c r="H33" t="inlineStr">
        <is>
          <t>fan</t>
        </is>
      </c>
      <c r="I33" t="inlineStr">
        <is>
          <t>n/a</t>
        </is>
      </c>
      <c r="J33" t="inlineStr">
        <is>
          <t>n/a</t>
        </is>
      </c>
      <c r="K33" t="inlineStr">
        <is>
          <t>LSF-01</t>
        </is>
      </c>
      <c r="L33" t="inlineStr">
        <is>
          <t>n/a</t>
        </is>
      </c>
      <c r="M33" t="inlineStr">
        <is>
          <t>LSF01</t>
        </is>
      </c>
    </row>
    <row r="34">
      <c r="A34" t="inlineStr">
        <is>
          <t>SEF-01</t>
        </is>
      </c>
      <c r="B34" t="inlineStr">
        <is>
          <t>AETERLINK BIM generator</t>
        </is>
      </c>
      <c r="C34" t="inlineStr">
        <is>
          <t>2026-10-08</t>
        </is>
      </c>
      <c r="D34" t="inlineStr">
        <is>
          <t>Cooling tower cell, Fan</t>
        </is>
      </c>
      <c r="E34" t="inlineStr">
        <is>
          <t>Chiller room</t>
        </is>
      </c>
      <c r="F34" t="inlineStr">
        <is>
          <t>Fan</t>
        </is>
      </c>
      <c r="G34" t="inlineStr">
        <is>
          <t>model.py</t>
        </is>
      </c>
      <c r="H34" t="inlineStr">
        <is>
          <t>fan</t>
        </is>
      </c>
      <c r="I34" t="inlineStr">
        <is>
          <t>n/a</t>
        </is>
      </c>
      <c r="J34" t="inlineStr">
        <is>
          <t>n/a</t>
        </is>
      </c>
      <c r="K34" t="inlineStr">
        <is>
          <t>SEF-01</t>
        </is>
      </c>
      <c r="L34" t="inlineStr">
        <is>
          <t>n/a</t>
        </is>
      </c>
      <c r="M34" t="inlineStr">
        <is>
          <t>SEF01</t>
        </is>
      </c>
    </row>
    <row r="35">
      <c r="A35" t="inlineStr">
        <is>
          <t>MBFV-001</t>
        </is>
      </c>
      <c r="B35" t="inlineStr">
        <is>
          <t>AETERLINK BIM generator</t>
        </is>
      </c>
      <c r="C35" t="inlineStr">
        <is>
          <t>2026-10-08</t>
        </is>
      </c>
      <c r="D35" t="inlineStr">
        <is>
          <t>Motorized butterfly valve (on/off, 24 Vac)</t>
        </is>
      </c>
      <c r="E35" t="inlineStr">
        <is>
          <t>Chiller room</t>
        </is>
      </c>
      <c r="F35" t="inlineStr">
        <is>
          <t>MBFV on CHR-P1</t>
        </is>
      </c>
      <c r="G35" t="inlineStr">
        <is>
          <t>model.py</t>
        </is>
      </c>
      <c r="H35" t="inlineStr">
        <is>
          <t>valve</t>
        </is>
      </c>
      <c r="I35" t="inlineStr">
        <is>
          <t>n/a</t>
        </is>
      </c>
      <c r="J35" t="inlineStr">
        <is>
          <t>n/a</t>
        </is>
      </c>
      <c r="K35" t="inlineStr">
        <is>
          <t>CHP01 suction</t>
        </is>
      </c>
      <c r="L35" t="inlineStr">
        <is>
          <t>n/a</t>
        </is>
      </c>
      <c r="M35" t="inlineStr">
        <is>
          <t>Gfx_CHP01_SuctionMV_Pos</t>
        </is>
      </c>
    </row>
    <row r="36">
      <c r="A36" t="inlineStr">
        <is>
          <t>STRAINER-002</t>
        </is>
      </c>
      <c r="B36" t="inlineStr">
        <is>
          <t>AETERLINK BIM generator</t>
        </is>
      </c>
      <c r="C36" t="inlineStr">
        <is>
          <t>2026-10-08</t>
        </is>
      </c>
      <c r="D36" t="inlineStr">
        <is>
          <t>Y-strainer, 20 mesh</t>
        </is>
      </c>
      <c r="E36" t="inlineStr">
        <is>
          <t>Chiller room</t>
        </is>
      </c>
      <c r="F36" t="inlineStr">
        <is>
          <t>STRAINER on CHR-P1</t>
        </is>
      </c>
      <c r="G36" t="inlineStr">
        <is>
          <t>model.py</t>
        </is>
      </c>
      <c r="H36" t="inlineStr">
        <is>
          <t>valve</t>
        </is>
      </c>
      <c r="I36" t="inlineStr">
        <is>
          <t>n/a</t>
        </is>
      </c>
      <c r="J36" t="inlineStr">
        <is>
          <t>n/a</t>
        </is>
      </c>
      <c r="K36" t="inlineStr">
        <is>
          <t>STRAINER-002</t>
        </is>
      </c>
      <c r="L36" t="inlineStr">
        <is>
          <t>n/a</t>
        </is>
      </c>
      <c r="M36" t="inlineStr">
        <is>
          <t>n/a</t>
        </is>
      </c>
    </row>
    <row r="37">
      <c r="A37" t="inlineStr">
        <is>
          <t>CHECK-005</t>
        </is>
      </c>
      <c r="B37" t="inlineStr">
        <is>
          <t>AETERLINK BIM generator</t>
        </is>
      </c>
      <c r="C37" t="inlineStr">
        <is>
          <t>2026-10-08</t>
        </is>
      </c>
      <c r="D37" t="inlineStr">
        <is>
          <t>Check valve, silent / dual plate</t>
        </is>
      </c>
      <c r="E37" t="inlineStr">
        <is>
          <t>Chiller room</t>
        </is>
      </c>
      <c r="F37" t="inlineStr">
        <is>
          <t>CHECK on CHR-D1</t>
        </is>
      </c>
      <c r="G37" t="inlineStr">
        <is>
          <t>model.py</t>
        </is>
      </c>
      <c r="H37" t="inlineStr">
        <is>
          <t>valve</t>
        </is>
      </c>
      <c r="I37" t="inlineStr">
        <is>
          <t>n/a</t>
        </is>
      </c>
      <c r="J37" t="inlineStr">
        <is>
          <t>n/a</t>
        </is>
      </c>
      <c r="K37" t="inlineStr">
        <is>
          <t>CHECK-005</t>
        </is>
      </c>
      <c r="L37" t="inlineStr">
        <is>
          <t>n/a</t>
        </is>
      </c>
      <c r="M37" t="inlineStr">
        <is>
          <t>n/a</t>
        </is>
      </c>
    </row>
    <row r="38">
      <c r="A38" t="inlineStr">
        <is>
          <t>MBFV-006</t>
        </is>
      </c>
      <c r="B38" t="inlineStr">
        <is>
          <t>AETERLINK BIM generator</t>
        </is>
      </c>
      <c r="C38" t="inlineStr">
        <is>
          <t>2026-10-08</t>
        </is>
      </c>
      <c r="D38" t="inlineStr">
        <is>
          <t>Motorized butterfly valve (on/off, 24 Vac)</t>
        </is>
      </c>
      <c r="E38" t="inlineStr">
        <is>
          <t>Chiller room</t>
        </is>
      </c>
      <c r="F38" t="inlineStr">
        <is>
          <t>MBFV on CHR-D1</t>
        </is>
      </c>
      <c r="G38" t="inlineStr">
        <is>
          <t>model.py</t>
        </is>
      </c>
      <c r="H38" t="inlineStr">
        <is>
          <t>valve</t>
        </is>
      </c>
      <c r="I38" t="inlineStr">
        <is>
          <t>n/a</t>
        </is>
      </c>
      <c r="J38" t="inlineStr">
        <is>
          <t>n/a</t>
        </is>
      </c>
      <c r="K38" t="inlineStr">
        <is>
          <t>CHP01 discharge MV</t>
        </is>
      </c>
      <c r="L38" t="inlineStr">
        <is>
          <t>n/a</t>
        </is>
      </c>
      <c r="M38" t="inlineStr">
        <is>
          <t>Gfx_CHP01_DischargeMV_Pos</t>
        </is>
      </c>
    </row>
    <row r="39">
      <c r="A39" t="inlineStr">
        <is>
          <t>MBFV-007</t>
        </is>
      </c>
      <c r="B39" t="inlineStr">
        <is>
          <t>AETERLINK BIM generator</t>
        </is>
      </c>
      <c r="C39" t="inlineStr">
        <is>
          <t>2026-10-08</t>
        </is>
      </c>
      <c r="D39" t="inlineStr">
        <is>
          <t>Motorized butterfly valve (on/off, 24 Vac)</t>
        </is>
      </c>
      <c r="E39" t="inlineStr">
        <is>
          <t>Chiller room</t>
        </is>
      </c>
      <c r="F39" t="inlineStr">
        <is>
          <t>MBFV on CHR-P2</t>
        </is>
      </c>
      <c r="G39" t="inlineStr">
        <is>
          <t>model.py</t>
        </is>
      </c>
      <c r="H39" t="inlineStr">
        <is>
          <t>valve</t>
        </is>
      </c>
      <c r="I39" t="inlineStr">
        <is>
          <t>n/a</t>
        </is>
      </c>
      <c r="J39" t="inlineStr">
        <is>
          <t>n/a</t>
        </is>
      </c>
      <c r="K39" t="inlineStr">
        <is>
          <t>CHP02 suction</t>
        </is>
      </c>
      <c r="L39" t="inlineStr">
        <is>
          <t>n/a</t>
        </is>
      </c>
      <c r="M39" t="inlineStr">
        <is>
          <t>Gfx_CHP02_SuctionMV_Pos</t>
        </is>
      </c>
    </row>
    <row r="40">
      <c r="A40" t="inlineStr">
        <is>
          <t>STRAINER-008</t>
        </is>
      </c>
      <c r="B40" t="inlineStr">
        <is>
          <t>AETERLINK BIM generator</t>
        </is>
      </c>
      <c r="C40" t="inlineStr">
        <is>
          <t>2026-10-08</t>
        </is>
      </c>
      <c r="D40" t="inlineStr">
        <is>
          <t>Y-strainer, 20 mesh</t>
        </is>
      </c>
      <c r="E40" t="inlineStr">
        <is>
          <t>Chiller room</t>
        </is>
      </c>
      <c r="F40" t="inlineStr">
        <is>
          <t>STRAINER on CHR-P2</t>
        </is>
      </c>
      <c r="G40" t="inlineStr">
        <is>
          <t>model.py</t>
        </is>
      </c>
      <c r="H40" t="inlineStr">
        <is>
          <t>valve</t>
        </is>
      </c>
      <c r="I40" t="inlineStr">
        <is>
          <t>n/a</t>
        </is>
      </c>
      <c r="J40" t="inlineStr">
        <is>
          <t>n/a</t>
        </is>
      </c>
      <c r="K40" t="inlineStr">
        <is>
          <t>STRAINER-008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CHECK-011</t>
        </is>
      </c>
      <c r="B41" t="inlineStr">
        <is>
          <t>AETERLINK BIM generator</t>
        </is>
      </c>
      <c r="C41" t="inlineStr">
        <is>
          <t>2026-10-08</t>
        </is>
      </c>
      <c r="D41" t="inlineStr">
        <is>
          <t>Check valve, silent / dual plate</t>
        </is>
      </c>
      <c r="E41" t="inlineStr">
        <is>
          <t>Chiller room</t>
        </is>
      </c>
      <c r="F41" t="inlineStr">
        <is>
          <t>CHECK on CHR-D2</t>
        </is>
      </c>
      <c r="G41" t="inlineStr">
        <is>
          <t>model.py</t>
        </is>
      </c>
      <c r="H41" t="inlineStr">
        <is>
          <t>valve</t>
        </is>
      </c>
      <c r="I41" t="inlineStr">
        <is>
          <t>n/a</t>
        </is>
      </c>
      <c r="J41" t="inlineStr">
        <is>
          <t>n/a</t>
        </is>
      </c>
      <c r="K41" t="inlineStr">
        <is>
          <t>CHECK-011</t>
        </is>
      </c>
      <c r="L41" t="inlineStr">
        <is>
          <t>n/a</t>
        </is>
      </c>
      <c r="M41" t="inlineStr">
        <is>
          <t>n/a</t>
        </is>
      </c>
    </row>
    <row r="42">
      <c r="A42" t="inlineStr">
        <is>
          <t>MBFV-012</t>
        </is>
      </c>
      <c r="B42" t="inlineStr">
        <is>
          <t>AETERLINK BIM generator</t>
        </is>
      </c>
      <c r="C42" t="inlineStr">
        <is>
          <t>2026-10-08</t>
        </is>
      </c>
      <c r="D42" t="inlineStr">
        <is>
          <t>Motorized butterfly valve (on/off, 24 Vac)</t>
        </is>
      </c>
      <c r="E42" t="inlineStr">
        <is>
          <t>Chiller room</t>
        </is>
      </c>
      <c r="F42" t="inlineStr">
        <is>
          <t>MBFV on CHR-D2</t>
        </is>
      </c>
      <c r="G42" t="inlineStr">
        <is>
          <t>model.py</t>
        </is>
      </c>
      <c r="H42" t="inlineStr">
        <is>
          <t>valve</t>
        </is>
      </c>
      <c r="I42" t="inlineStr">
        <is>
          <t>n/a</t>
        </is>
      </c>
      <c r="J42" t="inlineStr">
        <is>
          <t>n/a</t>
        </is>
      </c>
      <c r="K42" t="inlineStr">
        <is>
          <t>CHP02 discharge MV</t>
        </is>
      </c>
      <c r="L42" t="inlineStr">
        <is>
          <t>n/a</t>
        </is>
      </c>
      <c r="M42" t="inlineStr">
        <is>
          <t>Gfx_CHP02_DischargeMV_Pos</t>
        </is>
      </c>
    </row>
    <row r="43">
      <c r="A43" t="inlineStr">
        <is>
          <t>MBFV-013</t>
        </is>
      </c>
      <c r="B43" t="inlineStr">
        <is>
          <t>AETERLINK BIM generator</t>
        </is>
      </c>
      <c r="C43" t="inlineStr">
        <is>
          <t>2026-10-08</t>
        </is>
      </c>
      <c r="D43" t="inlineStr">
        <is>
          <t>Motorized butterfly valve (on/off, 24 Vac)</t>
        </is>
      </c>
      <c r="E43" t="inlineStr">
        <is>
          <t>Chiller room</t>
        </is>
      </c>
      <c r="F43" t="inlineStr">
        <is>
          <t>MBFV on CDS-P1</t>
        </is>
      </c>
      <c r="G43" t="inlineStr">
        <is>
          <t>model.py</t>
        </is>
      </c>
      <c r="H43" t="inlineStr">
        <is>
          <t>valve</t>
        </is>
      </c>
      <c r="I43" t="inlineStr">
        <is>
          <t>n/a</t>
        </is>
      </c>
      <c r="J43" t="inlineStr">
        <is>
          <t>n/a</t>
        </is>
      </c>
      <c r="K43" t="inlineStr">
        <is>
          <t>CDP01 suction</t>
        </is>
      </c>
      <c r="L43" t="inlineStr">
        <is>
          <t>n/a</t>
        </is>
      </c>
      <c r="M43" t="inlineStr">
        <is>
          <t>Gfx_CDP01_SuctionMV_Pos</t>
        </is>
      </c>
    </row>
    <row r="44">
      <c r="A44" t="inlineStr">
        <is>
          <t>STRAINER-014</t>
        </is>
      </c>
      <c r="B44" t="inlineStr">
        <is>
          <t>AETERLINK BIM generator</t>
        </is>
      </c>
      <c r="C44" t="inlineStr">
        <is>
          <t>2026-10-08</t>
        </is>
      </c>
      <c r="D44" t="inlineStr">
        <is>
          <t>Y-strainer, 20 mesh</t>
        </is>
      </c>
      <c r="E44" t="inlineStr">
        <is>
          <t>Chiller room</t>
        </is>
      </c>
      <c r="F44" t="inlineStr">
        <is>
          <t>STRAINER on CDS-P1</t>
        </is>
      </c>
      <c r="G44" t="inlineStr">
        <is>
          <t>model.py</t>
        </is>
      </c>
      <c r="H44" t="inlineStr">
        <is>
          <t>valve</t>
        </is>
      </c>
      <c r="I44" t="inlineStr">
        <is>
          <t>n/a</t>
        </is>
      </c>
      <c r="J44" t="inlineStr">
        <is>
          <t>n/a</t>
        </is>
      </c>
      <c r="K44" t="inlineStr">
        <is>
          <t>STRAINER-014</t>
        </is>
      </c>
      <c r="L44" t="inlineStr">
        <is>
          <t>n/a</t>
        </is>
      </c>
      <c r="M44" t="inlineStr">
        <is>
          <t>n/a</t>
        </is>
      </c>
    </row>
    <row r="45">
      <c r="A45" t="inlineStr">
        <is>
          <t>CHECK-017</t>
        </is>
      </c>
      <c r="B45" t="inlineStr">
        <is>
          <t>AETERLINK BIM generator</t>
        </is>
      </c>
      <c r="C45" t="inlineStr">
        <is>
          <t>2026-10-08</t>
        </is>
      </c>
      <c r="D45" t="inlineStr">
        <is>
          <t>Check valve, silent / dual plate</t>
        </is>
      </c>
      <c r="E45" t="inlineStr">
        <is>
          <t>Chiller room</t>
        </is>
      </c>
      <c r="F45" t="inlineStr">
        <is>
          <t>CHECK on CDS-D1</t>
        </is>
      </c>
      <c r="G45" t="inlineStr">
        <is>
          <t>model.py</t>
        </is>
      </c>
      <c r="H45" t="inlineStr">
        <is>
          <t>valve</t>
        </is>
      </c>
      <c r="I45" t="inlineStr">
        <is>
          <t>n/a</t>
        </is>
      </c>
      <c r="J45" t="inlineStr">
        <is>
          <t>n/a</t>
        </is>
      </c>
      <c r="K45" t="inlineStr">
        <is>
          <t>CHECK-017</t>
        </is>
      </c>
      <c r="L45" t="inlineStr">
        <is>
          <t>n/a</t>
        </is>
      </c>
      <c r="M45" t="inlineStr">
        <is>
          <t>n/a</t>
        </is>
      </c>
    </row>
    <row r="46">
      <c r="A46" t="inlineStr">
        <is>
          <t>MBFV-018</t>
        </is>
      </c>
      <c r="B46" t="inlineStr">
        <is>
          <t>AETERLINK BIM generator</t>
        </is>
      </c>
      <c r="C46" t="inlineStr">
        <is>
          <t>2026-10-08</t>
        </is>
      </c>
      <c r="D46" t="inlineStr">
        <is>
          <t>Motorized butterfly valve (on/off, 24 Vac)</t>
        </is>
      </c>
      <c r="E46" t="inlineStr">
        <is>
          <t>Chiller room</t>
        </is>
      </c>
      <c r="F46" t="inlineStr">
        <is>
          <t>MBFV on CDS-D1</t>
        </is>
      </c>
      <c r="G46" t="inlineStr">
        <is>
          <t>model.py</t>
        </is>
      </c>
      <c r="H46" t="inlineStr">
        <is>
          <t>valve</t>
        </is>
      </c>
      <c r="I46" t="inlineStr">
        <is>
          <t>n/a</t>
        </is>
      </c>
      <c r="J46" t="inlineStr">
        <is>
          <t>n/a</t>
        </is>
      </c>
      <c r="K46" t="inlineStr">
        <is>
          <t>CDP01 discharge MV</t>
        </is>
      </c>
      <c r="L46" t="inlineStr">
        <is>
          <t>n/a</t>
        </is>
      </c>
      <c r="M46" t="inlineStr">
        <is>
          <t>Gfx_CDP01_DischargeMV_Pos</t>
        </is>
      </c>
    </row>
    <row r="47">
      <c r="A47" t="inlineStr">
        <is>
          <t>MBFV-019</t>
        </is>
      </c>
      <c r="B47" t="inlineStr">
        <is>
          <t>AETERLINK BIM generator</t>
        </is>
      </c>
      <c r="C47" t="inlineStr">
        <is>
          <t>2026-10-08</t>
        </is>
      </c>
      <c r="D47" t="inlineStr">
        <is>
          <t>Motorized butterfly valve (on/off, 24 Vac)</t>
        </is>
      </c>
      <c r="E47" t="inlineStr">
        <is>
          <t>Chiller room</t>
        </is>
      </c>
      <c r="F47" t="inlineStr">
        <is>
          <t>MBFV on CDS-P2</t>
        </is>
      </c>
      <c r="G47" t="inlineStr">
        <is>
          <t>model.py</t>
        </is>
      </c>
      <c r="H47" t="inlineStr">
        <is>
          <t>valve</t>
        </is>
      </c>
      <c r="I47" t="inlineStr">
        <is>
          <t>n/a</t>
        </is>
      </c>
      <c r="J47" t="inlineStr">
        <is>
          <t>n/a</t>
        </is>
      </c>
      <c r="K47" t="inlineStr">
        <is>
          <t>CDP02 suction</t>
        </is>
      </c>
      <c r="L47" t="inlineStr">
        <is>
          <t>n/a</t>
        </is>
      </c>
      <c r="M47" t="inlineStr">
        <is>
          <t>Gfx_CDP02_SuctionMV_Pos</t>
        </is>
      </c>
    </row>
    <row r="48">
      <c r="A48" t="inlineStr">
        <is>
          <t>STRAINER-020</t>
        </is>
      </c>
      <c r="B48" t="inlineStr">
        <is>
          <t>AETERLINK BIM generator</t>
        </is>
      </c>
      <c r="C48" t="inlineStr">
        <is>
          <t>2026-10-08</t>
        </is>
      </c>
      <c r="D48" t="inlineStr">
        <is>
          <t>Y-strainer, 20 mesh</t>
        </is>
      </c>
      <c r="E48" t="inlineStr">
        <is>
          <t>Chiller room</t>
        </is>
      </c>
      <c r="F48" t="inlineStr">
        <is>
          <t>STRAINER on CDS-P2</t>
        </is>
      </c>
      <c r="G48" t="inlineStr">
        <is>
          <t>model.py</t>
        </is>
      </c>
      <c r="H48" t="inlineStr">
        <is>
          <t>valve</t>
        </is>
      </c>
      <c r="I48" t="inlineStr">
        <is>
          <t>n/a</t>
        </is>
      </c>
      <c r="J48" t="inlineStr">
        <is>
          <t>n/a</t>
        </is>
      </c>
      <c r="K48" t="inlineStr">
        <is>
          <t>STRAINER-020</t>
        </is>
      </c>
      <c r="L48" t="inlineStr">
        <is>
          <t>n/a</t>
        </is>
      </c>
      <c r="M48" t="inlineStr">
        <is>
          <t>n/a</t>
        </is>
      </c>
    </row>
    <row r="49">
      <c r="A49" t="inlineStr">
        <is>
          <t>CHECK-023</t>
        </is>
      </c>
      <c r="B49" t="inlineStr">
        <is>
          <t>AETERLINK BIM generator</t>
        </is>
      </c>
      <c r="C49" t="inlineStr">
        <is>
          <t>2026-10-08</t>
        </is>
      </c>
      <c r="D49" t="inlineStr">
        <is>
          <t>Check valve, silent / dual plate</t>
        </is>
      </c>
      <c r="E49" t="inlineStr">
        <is>
          <t>Chiller room</t>
        </is>
      </c>
      <c r="F49" t="inlineStr">
        <is>
          <t>CHECK on CDS-D2</t>
        </is>
      </c>
      <c r="G49" t="inlineStr">
        <is>
          <t>model.py</t>
        </is>
      </c>
      <c r="H49" t="inlineStr">
        <is>
          <t>valve</t>
        </is>
      </c>
      <c r="I49" t="inlineStr">
        <is>
          <t>n/a</t>
        </is>
      </c>
      <c r="J49" t="inlineStr">
        <is>
          <t>n/a</t>
        </is>
      </c>
      <c r="K49" t="inlineStr">
        <is>
          <t>CHECK-023</t>
        </is>
      </c>
      <c r="L49" t="inlineStr">
        <is>
          <t>n/a</t>
        </is>
      </c>
      <c r="M49" t="inlineStr">
        <is>
          <t>n/a</t>
        </is>
      </c>
    </row>
    <row r="50">
      <c r="A50" t="inlineStr">
        <is>
          <t>MBFV-024</t>
        </is>
      </c>
      <c r="B50" t="inlineStr">
        <is>
          <t>AETERLINK BIM generator</t>
        </is>
      </c>
      <c r="C50" t="inlineStr">
        <is>
          <t>2026-10-08</t>
        </is>
      </c>
      <c r="D50" t="inlineStr">
        <is>
          <t>Motorized butterfly valve (on/off, 24 Vac)</t>
        </is>
      </c>
      <c r="E50" t="inlineStr">
        <is>
          <t>Chiller room</t>
        </is>
      </c>
      <c r="F50" t="inlineStr">
        <is>
          <t>MBFV on CDS-D2</t>
        </is>
      </c>
      <c r="G50" t="inlineStr">
        <is>
          <t>model.py</t>
        </is>
      </c>
      <c r="H50" t="inlineStr">
        <is>
          <t>valve</t>
        </is>
      </c>
      <c r="I50" t="inlineStr">
        <is>
          <t>n/a</t>
        </is>
      </c>
      <c r="J50" t="inlineStr">
        <is>
          <t>n/a</t>
        </is>
      </c>
      <c r="K50" t="inlineStr">
        <is>
          <t>CDP02 discharge MV</t>
        </is>
      </c>
      <c r="L50" t="inlineStr">
        <is>
          <t>n/a</t>
        </is>
      </c>
      <c r="M50" t="inlineStr">
        <is>
          <t>Gfx_CDP02_DischargeMV_Pos</t>
        </is>
      </c>
    </row>
    <row r="51">
      <c r="A51" t="inlineStr">
        <is>
          <t>BFV-025</t>
        </is>
      </c>
      <c r="B51" t="inlineStr">
        <is>
          <t>AETERLINK BIM generator</t>
        </is>
      </c>
      <c r="C51" t="inlineStr">
        <is>
          <t>2026-10-08</t>
        </is>
      </c>
      <c r="D51" t="inlineStr">
        <is>
          <t>Butterfly valve, lug type, PN16</t>
        </is>
      </c>
      <c r="E51" t="inlineStr">
        <is>
          <t>Chiller room</t>
        </is>
      </c>
      <c r="F51" t="inlineStr">
        <is>
          <t>BFV on CHR-E1</t>
        </is>
      </c>
      <c r="G51" t="inlineStr">
        <is>
          <t>model.py</t>
        </is>
      </c>
      <c r="H51" t="inlineStr">
        <is>
          <t>valve</t>
        </is>
      </c>
      <c r="I51" t="inlineStr">
        <is>
          <t>n/a</t>
        </is>
      </c>
      <c r="J51" t="inlineStr">
        <is>
          <t>n/a</t>
        </is>
      </c>
      <c r="K51" t="inlineStr">
        <is>
          <t>BFV-025</t>
        </is>
      </c>
      <c r="L51" t="inlineStr">
        <is>
          <t>n/a</t>
        </is>
      </c>
      <c r="M51" t="inlineStr">
        <is>
          <t>n/a</t>
        </is>
      </c>
    </row>
    <row r="52">
      <c r="A52" t="inlineStr">
        <is>
          <t>MBFV-026</t>
        </is>
      </c>
      <c r="B52" t="inlineStr">
        <is>
          <t>AETERLINK BIM generator</t>
        </is>
      </c>
      <c r="C52" t="inlineStr">
        <is>
          <t>2026-10-08</t>
        </is>
      </c>
      <c r="D52" t="inlineStr">
        <is>
          <t>Motorized butterfly valve (on/off, 24 Vac)</t>
        </is>
      </c>
      <c r="E52" t="inlineStr">
        <is>
          <t>Chiller room</t>
        </is>
      </c>
      <c r="F52" t="inlineStr">
        <is>
          <t>MBFV on CHR-E1</t>
        </is>
      </c>
      <c r="G52" t="inlineStr">
        <is>
          <t>model.py</t>
        </is>
      </c>
      <c r="H52" t="inlineStr">
        <is>
          <t>valve</t>
        </is>
      </c>
      <c r="I52" t="inlineStr">
        <is>
          <t>n/a</t>
        </is>
      </c>
      <c r="J52" t="inlineStr">
        <is>
          <t>n/a</t>
        </is>
      </c>
      <c r="K52" t="inlineStr">
        <is>
          <t>CH01 CHW isolation</t>
        </is>
      </c>
      <c r="L52" t="inlineStr">
        <is>
          <t>n/a</t>
        </is>
      </c>
      <c r="M52" t="inlineStr">
        <is>
          <t>Gfx_CH01_ChwIso_Pos</t>
        </is>
      </c>
    </row>
    <row r="53">
      <c r="A53" t="inlineStr">
        <is>
          <t>FS-030</t>
        </is>
      </c>
      <c r="B53" t="inlineStr">
        <is>
          <t>AETERLINK BIM generator</t>
        </is>
      </c>
      <c r="C53" t="inlineStr">
        <is>
          <t>2026-10-08</t>
        </is>
      </c>
      <c r="D53" t="inlineStr">
        <is>
          <t>Paddle flow switch</t>
        </is>
      </c>
      <c r="E53" t="inlineStr">
        <is>
          <t>Chiller room</t>
        </is>
      </c>
      <c r="F53" t="inlineStr">
        <is>
          <t>FS on CHS-E1</t>
        </is>
      </c>
      <c r="G53" t="inlineStr">
        <is>
          <t>model.py</t>
        </is>
      </c>
      <c r="H53" t="inlineStr">
        <is>
          <t>valve</t>
        </is>
      </c>
      <c r="I53" t="inlineStr">
        <is>
          <t>n/a</t>
        </is>
      </c>
      <c r="J53" t="inlineStr">
        <is>
          <t>n/a</t>
        </is>
      </c>
      <c r="K53" t="inlineStr">
        <is>
          <t>CH01 evaporator flow switch</t>
        </is>
      </c>
      <c r="L53" t="inlineStr">
        <is>
          <t>n/a</t>
        </is>
      </c>
      <c r="M53" t="inlineStr">
        <is>
          <t>n/a</t>
        </is>
      </c>
    </row>
    <row r="54">
      <c r="A54" t="inlineStr">
        <is>
          <t>MCV-031</t>
        </is>
      </c>
      <c r="B54" t="inlineStr">
        <is>
          <t>AETERLINK BIM generator</t>
        </is>
      </c>
      <c r="C54" t="inlineStr">
        <is>
          <t>2026-10-08</t>
        </is>
      </c>
      <c r="D54" t="inlineStr">
        <is>
          <t>Motorized control valve (modulating 0-10 V, position feedback)</t>
        </is>
      </c>
      <c r="E54" t="inlineStr">
        <is>
          <t>Chiller room</t>
        </is>
      </c>
      <c r="F54" t="inlineStr">
        <is>
          <t>MCV on CHS-E1</t>
        </is>
      </c>
      <c r="G54" t="inlineStr">
        <is>
          <t>model.py</t>
        </is>
      </c>
      <c r="H54" t="inlineStr">
        <is>
          <t>valve</t>
        </is>
      </c>
      <c r="I54" t="inlineStr">
        <is>
          <t>n/a</t>
        </is>
      </c>
      <c r="J54" t="inlineStr">
        <is>
          <t>n/a</t>
        </is>
      </c>
      <c r="K54" t="inlineStr">
        <is>
          <t>CH01 CHW flow control</t>
        </is>
      </c>
      <c r="L54" t="inlineStr">
        <is>
          <t>n/a</t>
        </is>
      </c>
      <c r="M54" t="inlineStr">
        <is>
          <t>Gfx_CH01_ChwFCV_Pos</t>
        </is>
      </c>
    </row>
    <row r="55">
      <c r="A55" t="inlineStr">
        <is>
          <t>BFV-032</t>
        </is>
      </c>
      <c r="B55" t="inlineStr">
        <is>
          <t>AETERLINK BIM generator</t>
        </is>
      </c>
      <c r="C55" t="inlineStr">
        <is>
          <t>2026-10-08</t>
        </is>
      </c>
      <c r="D55" t="inlineStr">
        <is>
          <t>Butterfly valve, lug type, PN16</t>
        </is>
      </c>
      <c r="E55" t="inlineStr">
        <is>
          <t>Chiller room</t>
        </is>
      </c>
      <c r="F55" t="inlineStr">
        <is>
          <t>BFV on CDS-C1</t>
        </is>
      </c>
      <c r="G55" t="inlineStr">
        <is>
          <t>model.py</t>
        </is>
      </c>
      <c r="H55" t="inlineStr">
        <is>
          <t>valve</t>
        </is>
      </c>
      <c r="I55" t="inlineStr">
        <is>
          <t>n/a</t>
        </is>
      </c>
      <c r="J55" t="inlineStr">
        <is>
          <t>n/a</t>
        </is>
      </c>
      <c r="K55" t="inlineStr">
        <is>
          <t>BFV-032</t>
        </is>
      </c>
      <c r="L55" t="inlineStr">
        <is>
          <t>n/a</t>
        </is>
      </c>
      <c r="M55" t="inlineStr">
        <is>
          <t>n/a</t>
        </is>
      </c>
    </row>
    <row r="56">
      <c r="A56" t="inlineStr">
        <is>
          <t>MBFV-033</t>
        </is>
      </c>
      <c r="B56" t="inlineStr">
        <is>
          <t>AETERLINK BIM generator</t>
        </is>
      </c>
      <c r="C56" t="inlineStr">
        <is>
          <t>2026-10-08</t>
        </is>
      </c>
      <c r="D56" t="inlineStr">
        <is>
          <t>Motorized butterfly valve (on/off, 24 Vac)</t>
        </is>
      </c>
      <c r="E56" t="inlineStr">
        <is>
          <t>Chiller room</t>
        </is>
      </c>
      <c r="F56" t="inlineStr">
        <is>
          <t>MBFV on CDS-C1</t>
        </is>
      </c>
      <c r="G56" t="inlineStr">
        <is>
          <t>model.py</t>
        </is>
      </c>
      <c r="H56" t="inlineStr">
        <is>
          <t>valve</t>
        </is>
      </c>
      <c r="I56" t="inlineStr">
        <is>
          <t>n/a</t>
        </is>
      </c>
      <c r="J56" t="inlineStr">
        <is>
          <t>n/a</t>
        </is>
      </c>
      <c r="K56" t="inlineStr">
        <is>
          <t>CH01 CDW isolation</t>
        </is>
      </c>
      <c r="L56" t="inlineStr">
        <is>
          <t>n/a</t>
        </is>
      </c>
      <c r="M56" t="inlineStr">
        <is>
          <t>Gfx_CH01_CdwIso_Pos</t>
        </is>
      </c>
    </row>
    <row r="57">
      <c r="A57" t="inlineStr">
        <is>
          <t>FS-036</t>
        </is>
      </c>
      <c r="B57" t="inlineStr">
        <is>
          <t>AETERLINK BIM generator</t>
        </is>
      </c>
      <c r="C57" t="inlineStr">
        <is>
          <t>2026-10-08</t>
        </is>
      </c>
      <c r="D57" t="inlineStr">
        <is>
          <t>Paddle flow switch</t>
        </is>
      </c>
      <c r="E57" t="inlineStr">
        <is>
          <t>Chiller room</t>
        </is>
      </c>
      <c r="F57" t="inlineStr">
        <is>
          <t>FS on CDR-C1</t>
        </is>
      </c>
      <c r="G57" t="inlineStr">
        <is>
          <t>model.py</t>
        </is>
      </c>
      <c r="H57" t="inlineStr">
        <is>
          <t>valve</t>
        </is>
      </c>
      <c r="I57" t="inlineStr">
        <is>
          <t>n/a</t>
        </is>
      </c>
      <c r="J57" t="inlineStr">
        <is>
          <t>n/a</t>
        </is>
      </c>
      <c r="K57" t="inlineStr">
        <is>
          <t>CH01 condenser flow switch</t>
        </is>
      </c>
      <c r="L57" t="inlineStr">
        <is>
          <t>n/a</t>
        </is>
      </c>
      <c r="M57" t="inlineStr">
        <is>
          <t>n/a</t>
        </is>
      </c>
    </row>
    <row r="58">
      <c r="A58" t="inlineStr">
        <is>
          <t>MCV-037</t>
        </is>
      </c>
      <c r="B58" t="inlineStr">
        <is>
          <t>AETERLINK BIM generator</t>
        </is>
      </c>
      <c r="C58" t="inlineStr">
        <is>
          <t>2026-10-08</t>
        </is>
      </c>
      <c r="D58" t="inlineStr">
        <is>
          <t>Motorized control valve (modulating 0-10 V, position feedback)</t>
        </is>
      </c>
      <c r="E58" t="inlineStr">
        <is>
          <t>Chiller room</t>
        </is>
      </c>
      <c r="F58" t="inlineStr">
        <is>
          <t>MCV on CDR-C1</t>
        </is>
      </c>
      <c r="G58" t="inlineStr">
        <is>
          <t>model.py</t>
        </is>
      </c>
      <c r="H58" t="inlineStr">
        <is>
          <t>valve</t>
        </is>
      </c>
      <c r="I58" t="inlineStr">
        <is>
          <t>n/a</t>
        </is>
      </c>
      <c r="J58" t="inlineStr">
        <is>
          <t>n/a</t>
        </is>
      </c>
      <c r="K58" t="inlineStr">
        <is>
          <t>CH01 head-pressure valve</t>
        </is>
      </c>
      <c r="L58" t="inlineStr">
        <is>
          <t>n/a</t>
        </is>
      </c>
      <c r="M58" t="inlineStr">
        <is>
          <t>Gfx_CH01_CdwHPV_Pos</t>
        </is>
      </c>
    </row>
    <row r="59">
      <c r="A59" t="inlineStr">
        <is>
          <t>BFV-038</t>
        </is>
      </c>
      <c r="B59" t="inlineStr">
        <is>
          <t>AETERLINK BIM generator</t>
        </is>
      </c>
      <c r="C59" t="inlineStr">
        <is>
          <t>2026-10-08</t>
        </is>
      </c>
      <c r="D59" t="inlineStr">
        <is>
          <t>Butterfly valve, lug type, PN16</t>
        </is>
      </c>
      <c r="E59" t="inlineStr">
        <is>
          <t>Chiller room</t>
        </is>
      </c>
      <c r="F59" t="inlineStr">
        <is>
          <t>BFV on CHR-E2</t>
        </is>
      </c>
      <c r="G59" t="inlineStr">
        <is>
          <t>model.py</t>
        </is>
      </c>
      <c r="H59" t="inlineStr">
        <is>
          <t>valve</t>
        </is>
      </c>
      <c r="I59" t="inlineStr">
        <is>
          <t>n/a</t>
        </is>
      </c>
      <c r="J59" t="inlineStr">
        <is>
          <t>n/a</t>
        </is>
      </c>
      <c r="K59" t="inlineStr">
        <is>
          <t>BFV-038</t>
        </is>
      </c>
      <c r="L59" t="inlineStr">
        <is>
          <t>n/a</t>
        </is>
      </c>
      <c r="M59" t="inlineStr">
        <is>
          <t>n/a</t>
        </is>
      </c>
    </row>
    <row r="60">
      <c r="A60" t="inlineStr">
        <is>
          <t>MBFV-039</t>
        </is>
      </c>
      <c r="B60" t="inlineStr">
        <is>
          <t>AETERLINK BIM generator</t>
        </is>
      </c>
      <c r="C60" t="inlineStr">
        <is>
          <t>2026-10-08</t>
        </is>
      </c>
      <c r="D60" t="inlineStr">
        <is>
          <t>Motorized butterfly valve (on/off, 24 Vac)</t>
        </is>
      </c>
      <c r="E60" t="inlineStr">
        <is>
          <t>Chiller room</t>
        </is>
      </c>
      <c r="F60" t="inlineStr">
        <is>
          <t>MBFV on CHR-E2</t>
        </is>
      </c>
      <c r="G60" t="inlineStr">
        <is>
          <t>model.py</t>
        </is>
      </c>
      <c r="H60" t="inlineStr">
        <is>
          <t>valve</t>
        </is>
      </c>
      <c r="I60" t="inlineStr">
        <is>
          <t>n/a</t>
        </is>
      </c>
      <c r="J60" t="inlineStr">
        <is>
          <t>n/a</t>
        </is>
      </c>
      <c r="K60" t="inlineStr">
        <is>
          <t>CH02 CHW isolation</t>
        </is>
      </c>
      <c r="L60" t="inlineStr">
        <is>
          <t>n/a</t>
        </is>
      </c>
      <c r="M60" t="inlineStr">
        <is>
          <t>Gfx_CH02_ChwIso_Pos</t>
        </is>
      </c>
    </row>
    <row r="61">
      <c r="A61" t="inlineStr">
        <is>
          <t>FS-043</t>
        </is>
      </c>
      <c r="B61" t="inlineStr">
        <is>
          <t>AETERLINK BIM generator</t>
        </is>
      </c>
      <c r="C61" t="inlineStr">
        <is>
          <t>2026-10-08</t>
        </is>
      </c>
      <c r="D61" t="inlineStr">
        <is>
          <t>Paddle flow switch</t>
        </is>
      </c>
      <c r="E61" t="inlineStr">
        <is>
          <t>Chiller room</t>
        </is>
      </c>
      <c r="F61" t="inlineStr">
        <is>
          <t>FS on CHS-E2</t>
        </is>
      </c>
      <c r="G61" t="inlineStr">
        <is>
          <t>model.py</t>
        </is>
      </c>
      <c r="H61" t="inlineStr">
        <is>
          <t>valve</t>
        </is>
      </c>
      <c r="I61" t="inlineStr">
        <is>
          <t>n/a</t>
        </is>
      </c>
      <c r="J61" t="inlineStr">
        <is>
          <t>n/a</t>
        </is>
      </c>
      <c r="K61" t="inlineStr">
        <is>
          <t>CH02 evaporator flow switch</t>
        </is>
      </c>
      <c r="L61" t="inlineStr">
        <is>
          <t>n/a</t>
        </is>
      </c>
      <c r="M61" t="inlineStr">
        <is>
          <t>n/a</t>
        </is>
      </c>
    </row>
    <row r="62">
      <c r="A62" t="inlineStr">
        <is>
          <t>MCV-044</t>
        </is>
      </c>
      <c r="B62" t="inlineStr">
        <is>
          <t>AETERLINK BIM generator</t>
        </is>
      </c>
      <c r="C62" t="inlineStr">
        <is>
          <t>2026-10-08</t>
        </is>
      </c>
      <c r="D62" t="inlineStr">
        <is>
          <t>Motorized control valve (modulating 0-10 V, position feedback)</t>
        </is>
      </c>
      <c r="E62" t="inlineStr">
        <is>
          <t>Chiller room</t>
        </is>
      </c>
      <c r="F62" t="inlineStr">
        <is>
          <t>MCV on CHS-E2</t>
        </is>
      </c>
      <c r="G62" t="inlineStr">
        <is>
          <t>model.py</t>
        </is>
      </c>
      <c r="H62" t="inlineStr">
        <is>
          <t>valve</t>
        </is>
      </c>
      <c r="I62" t="inlineStr">
        <is>
          <t>n/a</t>
        </is>
      </c>
      <c r="J62" t="inlineStr">
        <is>
          <t>n/a</t>
        </is>
      </c>
      <c r="K62" t="inlineStr">
        <is>
          <t>CH02 CHW flow control</t>
        </is>
      </c>
      <c r="L62" t="inlineStr">
        <is>
          <t>n/a</t>
        </is>
      </c>
      <c r="M62" t="inlineStr">
        <is>
          <t>Gfx_CH02_ChwFCV_Pos</t>
        </is>
      </c>
    </row>
    <row r="63">
      <c r="A63" t="inlineStr">
        <is>
          <t>BFV-045</t>
        </is>
      </c>
      <c r="B63" t="inlineStr">
        <is>
          <t>AETERLINK BIM generator</t>
        </is>
      </c>
      <c r="C63" t="inlineStr">
        <is>
          <t>2026-10-08</t>
        </is>
      </c>
      <c r="D63" t="inlineStr">
        <is>
          <t>Butterfly valve, lug type, PN16</t>
        </is>
      </c>
      <c r="E63" t="inlineStr">
        <is>
          <t>Chiller room</t>
        </is>
      </c>
      <c r="F63" t="inlineStr">
        <is>
          <t>BFV on CDS-C2</t>
        </is>
      </c>
      <c r="G63" t="inlineStr">
        <is>
          <t>model.py</t>
        </is>
      </c>
      <c r="H63" t="inlineStr">
        <is>
          <t>valve</t>
        </is>
      </c>
      <c r="I63" t="inlineStr">
        <is>
          <t>n/a</t>
        </is>
      </c>
      <c r="J63" t="inlineStr">
        <is>
          <t>n/a</t>
        </is>
      </c>
      <c r="K63" t="inlineStr">
        <is>
          <t>BFV-045</t>
        </is>
      </c>
      <c r="L63" t="inlineStr">
        <is>
          <t>n/a</t>
        </is>
      </c>
      <c r="M63" t="inlineStr">
        <is>
          <t>n/a</t>
        </is>
      </c>
    </row>
    <row r="64">
      <c r="A64" t="inlineStr">
        <is>
          <t>MBFV-046</t>
        </is>
      </c>
      <c r="B64" t="inlineStr">
        <is>
          <t>AETERLINK BIM generator</t>
        </is>
      </c>
      <c r="C64" t="inlineStr">
        <is>
          <t>2026-10-08</t>
        </is>
      </c>
      <c r="D64" t="inlineStr">
        <is>
          <t>Motorized butterfly valve (on/off, 24 Vac)</t>
        </is>
      </c>
      <c r="E64" t="inlineStr">
        <is>
          <t>Chiller room</t>
        </is>
      </c>
      <c r="F64" t="inlineStr">
        <is>
          <t>MBFV on CDS-C2</t>
        </is>
      </c>
      <c r="G64" t="inlineStr">
        <is>
          <t>model.py</t>
        </is>
      </c>
      <c r="H64" t="inlineStr">
        <is>
          <t>valve</t>
        </is>
      </c>
      <c r="I64" t="inlineStr">
        <is>
          <t>n/a</t>
        </is>
      </c>
      <c r="J64" t="inlineStr">
        <is>
          <t>n/a</t>
        </is>
      </c>
      <c r="K64" t="inlineStr">
        <is>
          <t>CH02 CDW isolation</t>
        </is>
      </c>
      <c r="L64" t="inlineStr">
        <is>
          <t>n/a</t>
        </is>
      </c>
      <c r="M64" t="inlineStr">
        <is>
          <t>Gfx_CH02_CdwIso_Pos</t>
        </is>
      </c>
    </row>
    <row r="65">
      <c r="A65" t="inlineStr">
        <is>
          <t>FS-049</t>
        </is>
      </c>
      <c r="B65" t="inlineStr">
        <is>
          <t>AETERLINK BIM generator</t>
        </is>
      </c>
      <c r="C65" t="inlineStr">
        <is>
          <t>2026-10-08</t>
        </is>
      </c>
      <c r="D65" t="inlineStr">
        <is>
          <t>Paddle flow switch</t>
        </is>
      </c>
      <c r="E65" t="inlineStr">
        <is>
          <t>Chiller room</t>
        </is>
      </c>
      <c r="F65" t="inlineStr">
        <is>
          <t>FS on CDR-C2</t>
        </is>
      </c>
      <c r="G65" t="inlineStr">
        <is>
          <t>model.py</t>
        </is>
      </c>
      <c r="H65" t="inlineStr">
        <is>
          <t>valve</t>
        </is>
      </c>
      <c r="I65" t="inlineStr">
        <is>
          <t>n/a</t>
        </is>
      </c>
      <c r="J65" t="inlineStr">
        <is>
          <t>n/a</t>
        </is>
      </c>
      <c r="K65" t="inlineStr">
        <is>
          <t>CH02 condenser flow switch</t>
        </is>
      </c>
      <c r="L65" t="inlineStr">
        <is>
          <t>n/a</t>
        </is>
      </c>
      <c r="M65" t="inlineStr">
        <is>
          <t>n/a</t>
        </is>
      </c>
    </row>
    <row r="66">
      <c r="A66" t="inlineStr">
        <is>
          <t>MCV-050</t>
        </is>
      </c>
      <c r="B66" t="inlineStr">
        <is>
          <t>AETERLINK BIM generator</t>
        </is>
      </c>
      <c r="C66" t="inlineStr">
        <is>
          <t>2026-10-08</t>
        </is>
      </c>
      <c r="D66" t="inlineStr">
        <is>
          <t>Motorized control valve (modulating 0-10 V, position feedback)</t>
        </is>
      </c>
      <c r="E66" t="inlineStr">
        <is>
          <t>Chiller room</t>
        </is>
      </c>
      <c r="F66" t="inlineStr">
        <is>
          <t>MCV on CDR-C2</t>
        </is>
      </c>
      <c r="G66" t="inlineStr">
        <is>
          <t>model.py</t>
        </is>
      </c>
      <c r="H66" t="inlineStr">
        <is>
          <t>valve</t>
        </is>
      </c>
      <c r="I66" t="inlineStr">
        <is>
          <t>n/a</t>
        </is>
      </c>
      <c r="J66" t="inlineStr">
        <is>
          <t>n/a</t>
        </is>
      </c>
      <c r="K66" t="inlineStr">
        <is>
          <t>CH02 head-pressure valve</t>
        </is>
      </c>
      <c r="L66" t="inlineStr">
        <is>
          <t>n/a</t>
        </is>
      </c>
      <c r="M66" t="inlineStr">
        <is>
          <t>Gfx_CH02_CdwHPV_Pos</t>
        </is>
      </c>
    </row>
    <row r="67">
      <c r="A67" t="inlineStr">
        <is>
          <t>BFV-051</t>
        </is>
      </c>
      <c r="B67" t="inlineStr">
        <is>
          <t>AETERLINK BIM generator</t>
        </is>
      </c>
      <c r="C67" t="inlineStr">
        <is>
          <t>2026-10-08</t>
        </is>
      </c>
      <c r="D67" t="inlineStr">
        <is>
          <t>Butterfly valve, lug type, PN16</t>
        </is>
      </c>
      <c r="E67" t="inlineStr">
        <is>
          <t>Roof</t>
        </is>
      </c>
      <c r="F67" t="inlineStr">
        <is>
          <t>BFV on CDR-T1</t>
        </is>
      </c>
      <c r="G67" t="inlineStr">
        <is>
          <t>model.py</t>
        </is>
      </c>
      <c r="H67" t="inlineStr">
        <is>
          <t>valve</t>
        </is>
      </c>
      <c r="I67" t="inlineStr">
        <is>
          <t>n/a</t>
        </is>
      </c>
      <c r="J67" t="inlineStr">
        <is>
          <t>n/a</t>
        </is>
      </c>
      <c r="K67" t="inlineStr">
        <is>
          <t>BFV-051</t>
        </is>
      </c>
      <c r="L67" t="inlineStr">
        <is>
          <t>n/a</t>
        </is>
      </c>
      <c r="M67" t="inlineStr">
        <is>
          <t>n/a</t>
        </is>
      </c>
    </row>
    <row r="68">
      <c r="A68" t="inlineStr">
        <is>
          <t>MBFV-052</t>
        </is>
      </c>
      <c r="B68" t="inlineStr">
        <is>
          <t>AETERLINK BIM generator</t>
        </is>
      </c>
      <c r="C68" t="inlineStr">
        <is>
          <t>2026-10-08</t>
        </is>
      </c>
      <c r="D68" t="inlineStr">
        <is>
          <t>Motorized butterfly valve (on/off, 24 Vac)</t>
        </is>
      </c>
      <c r="E68" t="inlineStr">
        <is>
          <t>Roof</t>
        </is>
      </c>
      <c r="F68" t="inlineStr">
        <is>
          <t>MBFV on CDR-T1</t>
        </is>
      </c>
      <c r="G68" t="inlineStr">
        <is>
          <t>model.py</t>
        </is>
      </c>
      <c r="H68" t="inlineStr">
        <is>
          <t>valve</t>
        </is>
      </c>
      <c r="I68" t="inlineStr">
        <is>
          <t>n/a</t>
        </is>
      </c>
      <c r="J68" t="inlineStr">
        <is>
          <t>n/a</t>
        </is>
      </c>
      <c r="K68" t="inlineStr">
        <is>
          <t>CT01 inlet</t>
        </is>
      </c>
      <c r="L68" t="inlineStr">
        <is>
          <t>n/a</t>
        </is>
      </c>
      <c r="M68" t="inlineStr">
        <is>
          <t>Gfx_CT01_InletMV_Pos</t>
        </is>
      </c>
    </row>
    <row r="69">
      <c r="A69" t="inlineStr">
        <is>
          <t>MBFV-053</t>
        </is>
      </c>
      <c r="B69" t="inlineStr">
        <is>
          <t>AETERLINK BIM generator</t>
        </is>
      </c>
      <c r="C69" t="inlineStr">
        <is>
          <t>2026-10-08</t>
        </is>
      </c>
      <c r="D69" t="inlineStr">
        <is>
          <t>Motorized butterfly valve (on/off, 24 Vac)</t>
        </is>
      </c>
      <c r="E69" t="inlineStr">
        <is>
          <t>Roof</t>
        </is>
      </c>
      <c r="F69" t="inlineStr">
        <is>
          <t>MBFV on CDS-T1</t>
        </is>
      </c>
      <c r="G69" t="inlineStr">
        <is>
          <t>model.py</t>
        </is>
      </c>
      <c r="H69" t="inlineStr">
        <is>
          <t>valve</t>
        </is>
      </c>
      <c r="I69" t="inlineStr">
        <is>
          <t>n/a</t>
        </is>
      </c>
      <c r="J69" t="inlineStr">
        <is>
          <t>n/a</t>
        </is>
      </c>
      <c r="K69" t="inlineStr">
        <is>
          <t>CT01 outlet</t>
        </is>
      </c>
      <c r="L69" t="inlineStr">
        <is>
          <t>n/a</t>
        </is>
      </c>
      <c r="M69" t="inlineStr">
        <is>
          <t>Gfx_CT01_OutletMV_Pos</t>
        </is>
      </c>
    </row>
    <row r="70">
      <c r="A70" t="inlineStr">
        <is>
          <t>BFV-054</t>
        </is>
      </c>
      <c r="B70" t="inlineStr">
        <is>
          <t>AETERLINK BIM generator</t>
        </is>
      </c>
      <c r="C70" t="inlineStr">
        <is>
          <t>2026-10-08</t>
        </is>
      </c>
      <c r="D70" t="inlineStr">
        <is>
          <t>Butterfly valve, lug type, PN16</t>
        </is>
      </c>
      <c r="E70" t="inlineStr">
        <is>
          <t>Roof</t>
        </is>
      </c>
      <c r="F70" t="inlineStr">
        <is>
          <t>BFV on CDS-T1</t>
        </is>
      </c>
      <c r="G70" t="inlineStr">
        <is>
          <t>model.py</t>
        </is>
      </c>
      <c r="H70" t="inlineStr">
        <is>
          <t>valve</t>
        </is>
      </c>
      <c r="I70" t="inlineStr">
        <is>
          <t>n/a</t>
        </is>
      </c>
      <c r="J70" t="inlineStr">
        <is>
          <t>n/a</t>
        </is>
      </c>
      <c r="K70" t="inlineStr">
        <is>
          <t>BFV-054</t>
        </is>
      </c>
      <c r="L70" t="inlineStr">
        <is>
          <t>n/a</t>
        </is>
      </c>
      <c r="M70" t="inlineStr">
        <is>
          <t>n/a</t>
        </is>
      </c>
    </row>
    <row r="71">
      <c r="A71" t="inlineStr">
        <is>
          <t>BFV-055</t>
        </is>
      </c>
      <c r="B71" t="inlineStr">
        <is>
          <t>AETERLINK BIM generator</t>
        </is>
      </c>
      <c r="C71" t="inlineStr">
        <is>
          <t>2026-10-08</t>
        </is>
      </c>
      <c r="D71" t="inlineStr">
        <is>
          <t>Butterfly valve, lug type, PN16</t>
        </is>
      </c>
      <c r="E71" t="inlineStr">
        <is>
          <t>Roof</t>
        </is>
      </c>
      <c r="F71" t="inlineStr">
        <is>
          <t>BFV on CDR-T2</t>
        </is>
      </c>
      <c r="G71" t="inlineStr">
        <is>
          <t>model.py</t>
        </is>
      </c>
      <c r="H71" t="inlineStr">
        <is>
          <t>valve</t>
        </is>
      </c>
      <c r="I71" t="inlineStr">
        <is>
          <t>n/a</t>
        </is>
      </c>
      <c r="J71" t="inlineStr">
        <is>
          <t>n/a</t>
        </is>
      </c>
      <c r="K71" t="inlineStr">
        <is>
          <t>BFV-055</t>
        </is>
      </c>
      <c r="L71" t="inlineStr">
        <is>
          <t>n/a</t>
        </is>
      </c>
      <c r="M71" t="inlineStr">
        <is>
          <t>n/a</t>
        </is>
      </c>
    </row>
    <row r="72">
      <c r="A72" t="inlineStr">
        <is>
          <t>MBFV-056</t>
        </is>
      </c>
      <c r="B72" t="inlineStr">
        <is>
          <t>AETERLINK BIM generator</t>
        </is>
      </c>
      <c r="C72" t="inlineStr">
        <is>
          <t>2026-10-08</t>
        </is>
      </c>
      <c r="D72" t="inlineStr">
        <is>
          <t>Motorized butterfly valve (on/off, 24 Vac)</t>
        </is>
      </c>
      <c r="E72" t="inlineStr">
        <is>
          <t>Roof</t>
        </is>
      </c>
      <c r="F72" t="inlineStr">
        <is>
          <t>MBFV on CDR-T2</t>
        </is>
      </c>
      <c r="G72" t="inlineStr">
        <is>
          <t>model.py</t>
        </is>
      </c>
      <c r="H72" t="inlineStr">
        <is>
          <t>valve</t>
        </is>
      </c>
      <c r="I72" t="inlineStr">
        <is>
          <t>n/a</t>
        </is>
      </c>
      <c r="J72" t="inlineStr">
        <is>
          <t>n/a</t>
        </is>
      </c>
      <c r="K72" t="inlineStr">
        <is>
          <t>CT01 inlet</t>
        </is>
      </c>
      <c r="L72" t="inlineStr">
        <is>
          <t>n/a</t>
        </is>
      </c>
      <c r="M72" t="inlineStr">
        <is>
          <t>Gfx_CT01_InletMV_Pos</t>
        </is>
      </c>
    </row>
    <row r="73">
      <c r="A73" t="inlineStr">
        <is>
          <t>MBFV-057</t>
        </is>
      </c>
      <c r="B73" t="inlineStr">
        <is>
          <t>AETERLINK BIM generator</t>
        </is>
      </c>
      <c r="C73" t="inlineStr">
        <is>
          <t>2026-10-08</t>
        </is>
      </c>
      <c r="D73" t="inlineStr">
        <is>
          <t>Motorized butterfly valve (on/off, 24 Vac)</t>
        </is>
      </c>
      <c r="E73" t="inlineStr">
        <is>
          <t>Roof</t>
        </is>
      </c>
      <c r="F73" t="inlineStr">
        <is>
          <t>MBFV on CDS-T2</t>
        </is>
      </c>
      <c r="G73" t="inlineStr">
        <is>
          <t>model.py</t>
        </is>
      </c>
      <c r="H73" t="inlineStr">
        <is>
          <t>valve</t>
        </is>
      </c>
      <c r="I73" t="inlineStr">
        <is>
          <t>n/a</t>
        </is>
      </c>
      <c r="J73" t="inlineStr">
        <is>
          <t>n/a</t>
        </is>
      </c>
      <c r="K73" t="inlineStr">
        <is>
          <t>CT01 outlet</t>
        </is>
      </c>
      <c r="L73" t="inlineStr">
        <is>
          <t>n/a</t>
        </is>
      </c>
      <c r="M73" t="inlineStr">
        <is>
          <t>Gfx_CT01_OutletMV_Pos</t>
        </is>
      </c>
    </row>
    <row r="74">
      <c r="A74" t="inlineStr">
        <is>
          <t>BFV-058</t>
        </is>
      </c>
      <c r="B74" t="inlineStr">
        <is>
          <t>AETERLINK BIM generator</t>
        </is>
      </c>
      <c r="C74" t="inlineStr">
        <is>
          <t>2026-10-08</t>
        </is>
      </c>
      <c r="D74" t="inlineStr">
        <is>
          <t>Butterfly valve, lug type, PN16</t>
        </is>
      </c>
      <c r="E74" t="inlineStr">
        <is>
          <t>Roof</t>
        </is>
      </c>
      <c r="F74" t="inlineStr">
        <is>
          <t>BFV on CDS-T2</t>
        </is>
      </c>
      <c r="G74" t="inlineStr">
        <is>
          <t>model.py</t>
        </is>
      </c>
      <c r="H74" t="inlineStr">
        <is>
          <t>valve</t>
        </is>
      </c>
      <c r="I74" t="inlineStr">
        <is>
          <t>n/a</t>
        </is>
      </c>
      <c r="J74" t="inlineStr">
        <is>
          <t>n/a</t>
        </is>
      </c>
      <c r="K74" t="inlineStr">
        <is>
          <t>BFV-058</t>
        </is>
      </c>
      <c r="L74" t="inlineStr">
        <is>
          <t>n/a</t>
        </is>
      </c>
      <c r="M74" t="inlineStr">
        <is>
          <t>n/a</t>
        </is>
      </c>
    </row>
    <row r="75">
      <c r="A75" t="inlineStr">
        <is>
          <t>BFV-059</t>
        </is>
      </c>
      <c r="B75" t="inlineStr">
        <is>
          <t>AETERLINK BIM generator</t>
        </is>
      </c>
      <c r="C75" t="inlineStr">
        <is>
          <t>2026-10-08</t>
        </is>
      </c>
      <c r="D75" t="inlineStr">
        <is>
          <t>Butterfly valve, lug type, PN16</t>
        </is>
      </c>
      <c r="E75" t="inlineStr">
        <is>
          <t>Roof</t>
        </is>
      </c>
      <c r="F75" t="inlineStr">
        <is>
          <t>BFV on CDR-T3</t>
        </is>
      </c>
      <c r="G75" t="inlineStr">
        <is>
          <t>model.py</t>
        </is>
      </c>
      <c r="H75" t="inlineStr">
        <is>
          <t>valve</t>
        </is>
      </c>
      <c r="I75" t="inlineStr">
        <is>
          <t>n/a</t>
        </is>
      </c>
      <c r="J75" t="inlineStr">
        <is>
          <t>n/a</t>
        </is>
      </c>
      <c r="K75" t="inlineStr">
        <is>
          <t>BFV-059</t>
        </is>
      </c>
      <c r="L75" t="inlineStr">
        <is>
          <t>n/a</t>
        </is>
      </c>
      <c r="M75" t="inlineStr">
        <is>
          <t>n/a</t>
        </is>
      </c>
    </row>
    <row r="76">
      <c r="A76" t="inlineStr">
        <is>
          <t>MBFV-060</t>
        </is>
      </c>
      <c r="B76" t="inlineStr">
        <is>
          <t>AETERLINK BIM generator</t>
        </is>
      </c>
      <c r="C76" t="inlineStr">
        <is>
          <t>2026-10-08</t>
        </is>
      </c>
      <c r="D76" t="inlineStr">
        <is>
          <t>Motorized butterfly valve (on/off, 24 Vac)</t>
        </is>
      </c>
      <c r="E76" t="inlineStr">
        <is>
          <t>Roof</t>
        </is>
      </c>
      <c r="F76" t="inlineStr">
        <is>
          <t>MBFV on CDR-T3</t>
        </is>
      </c>
      <c r="G76" t="inlineStr">
        <is>
          <t>model.py</t>
        </is>
      </c>
      <c r="H76" t="inlineStr">
        <is>
          <t>valve</t>
        </is>
      </c>
      <c r="I76" t="inlineStr">
        <is>
          <t>n/a</t>
        </is>
      </c>
      <c r="J76" t="inlineStr">
        <is>
          <t>n/a</t>
        </is>
      </c>
      <c r="K76" t="inlineStr">
        <is>
          <t>CT02 inlet</t>
        </is>
      </c>
      <c r="L76" t="inlineStr">
        <is>
          <t>n/a</t>
        </is>
      </c>
      <c r="M76" t="inlineStr">
        <is>
          <t>Gfx_CT02_InletMV_Pos</t>
        </is>
      </c>
    </row>
    <row r="77">
      <c r="A77" t="inlineStr">
        <is>
          <t>MBFV-061</t>
        </is>
      </c>
      <c r="B77" t="inlineStr">
        <is>
          <t>AETERLINK BIM generator</t>
        </is>
      </c>
      <c r="C77" t="inlineStr">
        <is>
          <t>2026-10-08</t>
        </is>
      </c>
      <c r="D77" t="inlineStr">
        <is>
          <t>Motorized butterfly valve (on/off, 24 Vac)</t>
        </is>
      </c>
      <c r="E77" t="inlineStr">
        <is>
          <t>Roof</t>
        </is>
      </c>
      <c r="F77" t="inlineStr">
        <is>
          <t>MBFV on CDS-T3</t>
        </is>
      </c>
      <c r="G77" t="inlineStr">
        <is>
          <t>model.py</t>
        </is>
      </c>
      <c r="H77" t="inlineStr">
        <is>
          <t>valve</t>
        </is>
      </c>
      <c r="I77" t="inlineStr">
        <is>
          <t>n/a</t>
        </is>
      </c>
      <c r="J77" t="inlineStr">
        <is>
          <t>n/a</t>
        </is>
      </c>
      <c r="K77" t="inlineStr">
        <is>
          <t>CT02 outlet</t>
        </is>
      </c>
      <c r="L77" t="inlineStr">
        <is>
          <t>n/a</t>
        </is>
      </c>
      <c r="M77" t="inlineStr">
        <is>
          <t>Gfx_CT02_OutletMV_Pos</t>
        </is>
      </c>
    </row>
    <row r="78">
      <c r="A78" t="inlineStr">
        <is>
          <t>BFV-062</t>
        </is>
      </c>
      <c r="B78" t="inlineStr">
        <is>
          <t>AETERLINK BIM generator</t>
        </is>
      </c>
      <c r="C78" t="inlineStr">
        <is>
          <t>2026-10-08</t>
        </is>
      </c>
      <c r="D78" t="inlineStr">
        <is>
          <t>Butterfly valve, lug type, PN16</t>
        </is>
      </c>
      <c r="E78" t="inlineStr">
        <is>
          <t>Roof</t>
        </is>
      </c>
      <c r="F78" t="inlineStr">
        <is>
          <t>BFV on CDS-T3</t>
        </is>
      </c>
      <c r="G78" t="inlineStr">
        <is>
          <t>model.py</t>
        </is>
      </c>
      <c r="H78" t="inlineStr">
        <is>
          <t>valve</t>
        </is>
      </c>
      <c r="I78" t="inlineStr">
        <is>
          <t>n/a</t>
        </is>
      </c>
      <c r="J78" t="inlineStr">
        <is>
          <t>n/a</t>
        </is>
      </c>
      <c r="K78" t="inlineStr">
        <is>
          <t>BFV-062</t>
        </is>
      </c>
      <c r="L78" t="inlineStr">
        <is>
          <t>n/a</t>
        </is>
      </c>
      <c r="M78" t="inlineStr">
        <is>
          <t>n/a</t>
        </is>
      </c>
    </row>
    <row r="79">
      <c r="A79" t="inlineStr">
        <is>
          <t>BFV-063</t>
        </is>
      </c>
      <c r="B79" t="inlineStr">
        <is>
          <t>AETERLINK BIM generator</t>
        </is>
      </c>
      <c r="C79" t="inlineStr">
        <is>
          <t>2026-10-08</t>
        </is>
      </c>
      <c r="D79" t="inlineStr">
        <is>
          <t>Butterfly valve, lug type, PN16</t>
        </is>
      </c>
      <c r="E79" t="inlineStr">
        <is>
          <t>Roof</t>
        </is>
      </c>
      <c r="F79" t="inlineStr">
        <is>
          <t>BFV on CDR-T4</t>
        </is>
      </c>
      <c r="G79" t="inlineStr">
        <is>
          <t>model.py</t>
        </is>
      </c>
      <c r="H79" t="inlineStr">
        <is>
          <t>valve</t>
        </is>
      </c>
      <c r="I79" t="inlineStr">
        <is>
          <t>n/a</t>
        </is>
      </c>
      <c r="J79" t="inlineStr">
        <is>
          <t>n/a</t>
        </is>
      </c>
      <c r="K79" t="inlineStr">
        <is>
          <t>BFV-063</t>
        </is>
      </c>
      <c r="L79" t="inlineStr">
        <is>
          <t>n/a</t>
        </is>
      </c>
      <c r="M79" t="inlineStr">
        <is>
          <t>n/a</t>
        </is>
      </c>
    </row>
    <row r="80">
      <c r="A80" t="inlineStr">
        <is>
          <t>MBFV-064</t>
        </is>
      </c>
      <c r="B80" t="inlineStr">
        <is>
          <t>AETERLINK BIM generator</t>
        </is>
      </c>
      <c r="C80" t="inlineStr">
        <is>
          <t>2026-10-08</t>
        </is>
      </c>
      <c r="D80" t="inlineStr">
        <is>
          <t>Motorized butterfly valve (on/off, 24 Vac)</t>
        </is>
      </c>
      <c r="E80" t="inlineStr">
        <is>
          <t>Roof</t>
        </is>
      </c>
      <c r="F80" t="inlineStr">
        <is>
          <t>MBFV on CDR-T4</t>
        </is>
      </c>
      <c r="G80" t="inlineStr">
        <is>
          <t>model.py</t>
        </is>
      </c>
      <c r="H80" t="inlineStr">
        <is>
          <t>valve</t>
        </is>
      </c>
      <c r="I80" t="inlineStr">
        <is>
          <t>n/a</t>
        </is>
      </c>
      <c r="J80" t="inlineStr">
        <is>
          <t>n/a</t>
        </is>
      </c>
      <c r="K80" t="inlineStr">
        <is>
          <t>CT02 inlet</t>
        </is>
      </c>
      <c r="L80" t="inlineStr">
        <is>
          <t>n/a</t>
        </is>
      </c>
      <c r="M80" t="inlineStr">
        <is>
          <t>Gfx_CT02_InletMV_Pos</t>
        </is>
      </c>
    </row>
    <row r="81">
      <c r="A81" t="inlineStr">
        <is>
          <t>MBFV-065</t>
        </is>
      </c>
      <c r="B81" t="inlineStr">
        <is>
          <t>AETERLINK BIM generator</t>
        </is>
      </c>
      <c r="C81" t="inlineStr">
        <is>
          <t>2026-10-08</t>
        </is>
      </c>
      <c r="D81" t="inlineStr">
        <is>
          <t>Motorized butterfly valve (on/off, 24 Vac)</t>
        </is>
      </c>
      <c r="E81" t="inlineStr">
        <is>
          <t>Roof</t>
        </is>
      </c>
      <c r="F81" t="inlineStr">
        <is>
          <t>MBFV on CDS-T4</t>
        </is>
      </c>
      <c r="G81" t="inlineStr">
        <is>
          <t>model.py</t>
        </is>
      </c>
      <c r="H81" t="inlineStr">
        <is>
          <t>valve</t>
        </is>
      </c>
      <c r="I81" t="inlineStr">
        <is>
          <t>n/a</t>
        </is>
      </c>
      <c r="J81" t="inlineStr">
        <is>
          <t>n/a</t>
        </is>
      </c>
      <c r="K81" t="inlineStr">
        <is>
          <t>CT02 outlet</t>
        </is>
      </c>
      <c r="L81" t="inlineStr">
        <is>
          <t>n/a</t>
        </is>
      </c>
      <c r="M81" t="inlineStr">
        <is>
          <t>Gfx_CT02_OutletMV_Pos</t>
        </is>
      </c>
    </row>
    <row r="82">
      <c r="A82" t="inlineStr">
        <is>
          <t>BFV-066</t>
        </is>
      </c>
      <c r="B82" t="inlineStr">
        <is>
          <t>AETERLINK BIM generator</t>
        </is>
      </c>
      <c r="C82" t="inlineStr">
        <is>
          <t>2026-10-08</t>
        </is>
      </c>
      <c r="D82" t="inlineStr">
        <is>
          <t>Butterfly valve, lug type, PN16</t>
        </is>
      </c>
      <c r="E82" t="inlineStr">
        <is>
          <t>Roof</t>
        </is>
      </c>
      <c r="F82" t="inlineStr">
        <is>
          <t>BFV on CDS-T4</t>
        </is>
      </c>
      <c r="G82" t="inlineStr">
        <is>
          <t>model.py</t>
        </is>
      </c>
      <c r="H82" t="inlineStr">
        <is>
          <t>valve</t>
        </is>
      </c>
      <c r="I82" t="inlineStr">
        <is>
          <t>n/a</t>
        </is>
      </c>
      <c r="J82" t="inlineStr">
        <is>
          <t>n/a</t>
        </is>
      </c>
      <c r="K82" t="inlineStr">
        <is>
          <t>BFV-066</t>
        </is>
      </c>
      <c r="L82" t="inlineStr">
        <is>
          <t>n/a</t>
        </is>
      </c>
      <c r="M82" t="inlineStr">
        <is>
          <t>n/a</t>
        </is>
      </c>
    </row>
    <row r="83">
      <c r="A83" t="inlineStr">
        <is>
          <t>MCV-067</t>
        </is>
      </c>
      <c r="B83" t="inlineStr">
        <is>
          <t>AETERLINK BIM generator</t>
        </is>
      </c>
      <c r="C83" t="inlineStr">
        <is>
          <t>2026-10-08</t>
        </is>
      </c>
      <c r="D83" t="inlineStr">
        <is>
          <t>Motorized control valve (modulating 0-10 V, position feedback)</t>
        </is>
      </c>
      <c r="E83" t="inlineStr">
        <is>
          <t>Chiller room</t>
        </is>
      </c>
      <c r="F83" t="inlineStr">
        <is>
          <t>MCV on CHS-F2</t>
        </is>
      </c>
      <c r="G83" t="inlineStr">
        <is>
          <t>model.py</t>
        </is>
      </c>
      <c r="H83" t="inlineStr">
        <is>
          <t>valve</t>
        </is>
      </c>
      <c r="I83" t="inlineStr">
        <is>
          <t>n/a</t>
        </is>
      </c>
      <c r="J83" t="inlineStr">
        <is>
          <t>n/a</t>
        </is>
      </c>
      <c r="K83" t="inlineStr">
        <is>
          <t>AHU_F02 CHW valve</t>
        </is>
      </c>
      <c r="L83" t="inlineStr">
        <is>
          <t>n/a</t>
        </is>
      </c>
      <c r="M83" t="inlineStr">
        <is>
          <t>AHU_F02_ValveCmd</t>
        </is>
      </c>
    </row>
    <row r="84">
      <c r="A84" t="inlineStr">
        <is>
          <t>BFV-068</t>
        </is>
      </c>
      <c r="B84" t="inlineStr">
        <is>
          <t>AETERLINK BIM generator</t>
        </is>
      </c>
      <c r="C84" t="inlineStr">
        <is>
          <t>2026-10-08</t>
        </is>
      </c>
      <c r="D84" t="inlineStr">
        <is>
          <t>Butterfly valve, lug type, PN16</t>
        </is>
      </c>
      <c r="E84" t="inlineStr">
        <is>
          <t>Chiller room</t>
        </is>
      </c>
      <c r="F84" t="inlineStr">
        <is>
          <t>BFV on CHR-F2</t>
        </is>
      </c>
      <c r="G84" t="inlineStr">
        <is>
          <t>model.py</t>
        </is>
      </c>
      <c r="H84" t="inlineStr">
        <is>
          <t>valve</t>
        </is>
      </c>
      <c r="I84" t="inlineStr">
        <is>
          <t>n/a</t>
        </is>
      </c>
      <c r="J84" t="inlineStr">
        <is>
          <t>n/a</t>
        </is>
      </c>
      <c r="K84" t="inlineStr">
        <is>
          <t>BFV-068</t>
        </is>
      </c>
      <c r="L84" t="inlineStr">
        <is>
          <t>n/a</t>
        </is>
      </c>
      <c r="M84" t="inlineStr">
        <is>
          <t>n/a</t>
        </is>
      </c>
    </row>
    <row r="85">
      <c r="A85" t="inlineStr">
        <is>
          <t>MCV-069</t>
        </is>
      </c>
      <c r="B85" t="inlineStr">
        <is>
          <t>AETERLINK BIM generator</t>
        </is>
      </c>
      <c r="C85" t="inlineStr">
        <is>
          <t>2026-10-08</t>
        </is>
      </c>
      <c r="D85" t="inlineStr">
        <is>
          <t>Motorized control valve (modulating 0-10 V, position feedback)</t>
        </is>
      </c>
      <c r="E85" t="inlineStr">
        <is>
          <t>Chiller room</t>
        </is>
      </c>
      <c r="F85" t="inlineStr">
        <is>
          <t>MCV on CHS-F3</t>
        </is>
      </c>
      <c r="G85" t="inlineStr">
        <is>
          <t>model.py</t>
        </is>
      </c>
      <c r="H85" t="inlineStr">
        <is>
          <t>valve</t>
        </is>
      </c>
      <c r="I85" t="inlineStr">
        <is>
          <t>n/a</t>
        </is>
      </c>
      <c r="J85" t="inlineStr">
        <is>
          <t>n/a</t>
        </is>
      </c>
      <c r="K85" t="inlineStr">
        <is>
          <t>AHU_F03 CHW valve</t>
        </is>
      </c>
      <c r="L85" t="inlineStr">
        <is>
          <t>n/a</t>
        </is>
      </c>
      <c r="M85" t="inlineStr">
        <is>
          <t>AHU_F03_ValveCmd</t>
        </is>
      </c>
    </row>
    <row r="86">
      <c r="A86" t="inlineStr">
        <is>
          <t>BFV-070</t>
        </is>
      </c>
      <c r="B86" t="inlineStr">
        <is>
          <t>AETERLINK BIM generator</t>
        </is>
      </c>
      <c r="C86" t="inlineStr">
        <is>
          <t>2026-10-08</t>
        </is>
      </c>
      <c r="D86" t="inlineStr">
        <is>
          <t>Butterfly valve, lug type, PN16</t>
        </is>
      </c>
      <c r="E86" t="inlineStr">
        <is>
          <t>Chiller room</t>
        </is>
      </c>
      <c r="F86" t="inlineStr">
        <is>
          <t>BFV on CHR-F3</t>
        </is>
      </c>
      <c r="G86" t="inlineStr">
        <is>
          <t>model.py</t>
        </is>
      </c>
      <c r="H86" t="inlineStr">
        <is>
          <t>valve</t>
        </is>
      </c>
      <c r="I86" t="inlineStr">
        <is>
          <t>n/a</t>
        </is>
      </c>
      <c r="J86" t="inlineStr">
        <is>
          <t>n/a</t>
        </is>
      </c>
      <c r="K86" t="inlineStr">
        <is>
          <t>BFV-070</t>
        </is>
      </c>
      <c r="L86" t="inlineStr">
        <is>
          <t>n/a</t>
        </is>
      </c>
      <c r="M86" t="inlineStr">
        <is>
          <t>n/a</t>
        </is>
      </c>
    </row>
    <row r="87">
      <c r="A87" t="inlineStr">
        <is>
          <t>MCV-071</t>
        </is>
      </c>
      <c r="B87" t="inlineStr">
        <is>
          <t>AETERLINK BIM generator</t>
        </is>
      </c>
      <c r="C87" t="inlineStr">
        <is>
          <t>2026-10-08</t>
        </is>
      </c>
      <c r="D87" t="inlineStr">
        <is>
          <t>Motorized control valve (modulating 0-10 V, position feedback)</t>
        </is>
      </c>
      <c r="E87" t="inlineStr">
        <is>
          <t>Chiller room</t>
        </is>
      </c>
      <c r="F87" t="inlineStr">
        <is>
          <t>MCV on CHS-F4</t>
        </is>
      </c>
      <c r="G87" t="inlineStr">
        <is>
          <t>model.py</t>
        </is>
      </c>
      <c r="H87" t="inlineStr">
        <is>
          <t>valve</t>
        </is>
      </c>
      <c r="I87" t="inlineStr">
        <is>
          <t>n/a</t>
        </is>
      </c>
      <c r="J87" t="inlineStr">
        <is>
          <t>n/a</t>
        </is>
      </c>
      <c r="K87" t="inlineStr">
        <is>
          <t>AHU_F04 CHW valve</t>
        </is>
      </c>
      <c r="L87" t="inlineStr">
        <is>
          <t>n/a</t>
        </is>
      </c>
      <c r="M87" t="inlineStr">
        <is>
          <t>AHU_F04_ValveCmd</t>
        </is>
      </c>
    </row>
    <row r="88">
      <c r="A88" t="inlineStr">
        <is>
          <t>BFV-072</t>
        </is>
      </c>
      <c r="B88" t="inlineStr">
        <is>
          <t>AETERLINK BIM generator</t>
        </is>
      </c>
      <c r="C88" t="inlineStr">
        <is>
          <t>2026-10-08</t>
        </is>
      </c>
      <c r="D88" t="inlineStr">
        <is>
          <t>Butterfly valve, lug type, PN16</t>
        </is>
      </c>
      <c r="E88" t="inlineStr">
        <is>
          <t>Chiller room</t>
        </is>
      </c>
      <c r="F88" t="inlineStr">
        <is>
          <t>BFV on CHR-F4</t>
        </is>
      </c>
      <c r="G88" t="inlineStr">
        <is>
          <t>model.py</t>
        </is>
      </c>
      <c r="H88" t="inlineStr">
        <is>
          <t>valve</t>
        </is>
      </c>
      <c r="I88" t="inlineStr">
        <is>
          <t>n/a</t>
        </is>
      </c>
      <c r="J88" t="inlineStr">
        <is>
          <t>n/a</t>
        </is>
      </c>
      <c r="K88" t="inlineStr">
        <is>
          <t>BFV-072</t>
        </is>
      </c>
      <c r="L88" t="inlineStr">
        <is>
          <t>n/a</t>
        </is>
      </c>
      <c r="M88" t="inlineStr">
        <is>
          <t>n/a</t>
        </is>
      </c>
    </row>
    <row r="89">
      <c r="A89" t="inlineStr">
        <is>
          <t>MCV-073</t>
        </is>
      </c>
      <c r="B89" t="inlineStr">
        <is>
          <t>AETERLINK BIM generator</t>
        </is>
      </c>
      <c r="C89" t="inlineStr">
        <is>
          <t>2026-10-08</t>
        </is>
      </c>
      <c r="D89" t="inlineStr">
        <is>
          <t>Motorized control valve (modulating 0-10 V, position feedback)</t>
        </is>
      </c>
      <c r="E89" t="inlineStr">
        <is>
          <t>Chiller room</t>
        </is>
      </c>
      <c r="F89" t="inlineStr">
        <is>
          <t>MCV on CHS-F5</t>
        </is>
      </c>
      <c r="G89" t="inlineStr">
        <is>
          <t>model.py</t>
        </is>
      </c>
      <c r="H89" t="inlineStr">
        <is>
          <t>valve</t>
        </is>
      </c>
      <c r="I89" t="inlineStr">
        <is>
          <t>n/a</t>
        </is>
      </c>
      <c r="J89" t="inlineStr">
        <is>
          <t>n/a</t>
        </is>
      </c>
      <c r="K89" t="inlineStr">
        <is>
          <t>AHU_F05 CHW valve</t>
        </is>
      </c>
      <c r="L89" t="inlineStr">
        <is>
          <t>n/a</t>
        </is>
      </c>
      <c r="M89" t="inlineStr">
        <is>
          <t>AHU_F05_ValveCmd</t>
        </is>
      </c>
    </row>
    <row r="90">
      <c r="A90" t="inlineStr">
        <is>
          <t>BFV-074</t>
        </is>
      </c>
      <c r="B90" t="inlineStr">
        <is>
          <t>AETERLINK BIM generator</t>
        </is>
      </c>
      <c r="C90" t="inlineStr">
        <is>
          <t>2026-10-08</t>
        </is>
      </c>
      <c r="D90" t="inlineStr">
        <is>
          <t>Butterfly valve, lug type, PN16</t>
        </is>
      </c>
      <c r="E90" t="inlineStr">
        <is>
          <t>Chiller room</t>
        </is>
      </c>
      <c r="F90" t="inlineStr">
        <is>
          <t>BFV on CHR-F5</t>
        </is>
      </c>
      <c r="G90" t="inlineStr">
        <is>
          <t>model.py</t>
        </is>
      </c>
      <c r="H90" t="inlineStr">
        <is>
          <t>valve</t>
        </is>
      </c>
      <c r="I90" t="inlineStr">
        <is>
          <t>n/a</t>
        </is>
      </c>
      <c r="J90" t="inlineStr">
        <is>
          <t>n/a</t>
        </is>
      </c>
      <c r="K90" t="inlineStr">
        <is>
          <t>BFV-074</t>
        </is>
      </c>
      <c r="L90" t="inlineStr">
        <is>
          <t>n/a</t>
        </is>
      </c>
      <c r="M90" t="inlineStr">
        <is>
          <t>n/a</t>
        </is>
      </c>
    </row>
    <row r="91">
      <c r="A91" t="inlineStr">
        <is>
          <t>MCV-075</t>
        </is>
      </c>
      <c r="B91" t="inlineStr">
        <is>
          <t>AETERLINK BIM generator</t>
        </is>
      </c>
      <c r="C91" t="inlineStr">
        <is>
          <t>2026-10-08</t>
        </is>
      </c>
      <c r="D91" t="inlineStr">
        <is>
          <t>Motorized control valve (modulating 0-10 V, position feedback)</t>
        </is>
      </c>
      <c r="E91" t="inlineStr">
        <is>
          <t>Chiller room</t>
        </is>
      </c>
      <c r="F91" t="inlineStr">
        <is>
          <t>MCV on CHS-F6</t>
        </is>
      </c>
      <c r="G91" t="inlineStr">
        <is>
          <t>model.py</t>
        </is>
      </c>
      <c r="H91" t="inlineStr">
        <is>
          <t>valve</t>
        </is>
      </c>
      <c r="I91" t="inlineStr">
        <is>
          <t>n/a</t>
        </is>
      </c>
      <c r="J91" t="inlineStr">
        <is>
          <t>n/a</t>
        </is>
      </c>
      <c r="K91" t="inlineStr">
        <is>
          <t>AHU_F06 CHW valve</t>
        </is>
      </c>
      <c r="L91" t="inlineStr">
        <is>
          <t>n/a</t>
        </is>
      </c>
      <c r="M91" t="inlineStr">
        <is>
          <t>AHU_F06_ValveCmd</t>
        </is>
      </c>
    </row>
    <row r="92">
      <c r="A92" t="inlineStr">
        <is>
          <t>BFV-076</t>
        </is>
      </c>
      <c r="B92" t="inlineStr">
        <is>
          <t>AETERLINK BIM generator</t>
        </is>
      </c>
      <c r="C92" t="inlineStr">
        <is>
          <t>2026-10-08</t>
        </is>
      </c>
      <c r="D92" t="inlineStr">
        <is>
          <t>Butterfly valve, lug type, PN16</t>
        </is>
      </c>
      <c r="E92" t="inlineStr">
        <is>
          <t>Chiller room</t>
        </is>
      </c>
      <c r="F92" t="inlineStr">
        <is>
          <t>BFV on CHR-F6</t>
        </is>
      </c>
      <c r="G92" t="inlineStr">
        <is>
          <t>model.py</t>
        </is>
      </c>
      <c r="H92" t="inlineStr">
        <is>
          <t>valve</t>
        </is>
      </c>
      <c r="I92" t="inlineStr">
        <is>
          <t>n/a</t>
        </is>
      </c>
      <c r="J92" t="inlineStr">
        <is>
          <t>n/a</t>
        </is>
      </c>
      <c r="K92" t="inlineStr">
        <is>
          <t>BFV-076</t>
        </is>
      </c>
      <c r="L92" t="inlineStr">
        <is>
          <t>n/a</t>
        </is>
      </c>
      <c r="M92" t="inlineStr">
        <is>
          <t>n/a</t>
        </is>
      </c>
    </row>
    <row r="93">
      <c r="A93" t="inlineStr">
        <is>
          <t>MCV-077</t>
        </is>
      </c>
      <c r="B93" t="inlineStr">
        <is>
          <t>AETERLINK BIM generator</t>
        </is>
      </c>
      <c r="C93" t="inlineStr">
        <is>
          <t>2026-10-08</t>
        </is>
      </c>
      <c r="D93" t="inlineStr">
        <is>
          <t>Motorized control valve (modulating 0-10 V, position feedback)</t>
        </is>
      </c>
      <c r="E93" t="inlineStr">
        <is>
          <t>Chiller room</t>
        </is>
      </c>
      <c r="F93" t="inlineStr">
        <is>
          <t>MCV on CHS-F7</t>
        </is>
      </c>
      <c r="G93" t="inlineStr">
        <is>
          <t>model.py</t>
        </is>
      </c>
      <c r="H93" t="inlineStr">
        <is>
          <t>valve</t>
        </is>
      </c>
      <c r="I93" t="inlineStr">
        <is>
          <t>n/a</t>
        </is>
      </c>
      <c r="J93" t="inlineStr">
        <is>
          <t>n/a</t>
        </is>
      </c>
      <c r="K93" t="inlineStr">
        <is>
          <t>AHU_F07 CHW valve</t>
        </is>
      </c>
      <c r="L93" t="inlineStr">
        <is>
          <t>n/a</t>
        </is>
      </c>
      <c r="M93" t="inlineStr">
        <is>
          <t>AHU_F07_ValveCmd</t>
        </is>
      </c>
    </row>
    <row r="94">
      <c r="A94" t="inlineStr">
        <is>
          <t>BFV-078</t>
        </is>
      </c>
      <c r="B94" t="inlineStr">
        <is>
          <t>AETERLINK BIM generator</t>
        </is>
      </c>
      <c r="C94" t="inlineStr">
        <is>
          <t>2026-10-08</t>
        </is>
      </c>
      <c r="D94" t="inlineStr">
        <is>
          <t>Butterfly valve, lug type, PN16</t>
        </is>
      </c>
      <c r="E94" t="inlineStr">
        <is>
          <t>Chiller room</t>
        </is>
      </c>
      <c r="F94" t="inlineStr">
        <is>
          <t>BFV on CHR-F7</t>
        </is>
      </c>
      <c r="G94" t="inlineStr">
        <is>
          <t>model.py</t>
        </is>
      </c>
      <c r="H94" t="inlineStr">
        <is>
          <t>valve</t>
        </is>
      </c>
      <c r="I94" t="inlineStr">
        <is>
          <t>n/a</t>
        </is>
      </c>
      <c r="J94" t="inlineStr">
        <is>
          <t>n/a</t>
        </is>
      </c>
      <c r="K94" t="inlineStr">
        <is>
          <t>BFV-078</t>
        </is>
      </c>
      <c r="L94" t="inlineStr">
        <is>
          <t>n/a</t>
        </is>
      </c>
      <c r="M94" t="inlineStr">
        <is>
          <t>n/a</t>
        </is>
      </c>
    </row>
    <row r="95">
      <c r="A95" t="inlineStr">
        <is>
          <t>MCV-079</t>
        </is>
      </c>
      <c r="B95" t="inlineStr">
        <is>
          <t>AETERLINK BIM generator</t>
        </is>
      </c>
      <c r="C95" t="inlineStr">
        <is>
          <t>2026-10-08</t>
        </is>
      </c>
      <c r="D95" t="inlineStr">
        <is>
          <t>Motorized control valve (modulating 0-10 V, position feedback)</t>
        </is>
      </c>
      <c r="E95" t="inlineStr">
        <is>
          <t>Chiller room</t>
        </is>
      </c>
      <c r="F95" t="inlineStr">
        <is>
          <t>MCV on CHS-F8</t>
        </is>
      </c>
      <c r="G95" t="inlineStr">
        <is>
          <t>model.py</t>
        </is>
      </c>
      <c r="H95" t="inlineStr">
        <is>
          <t>valve</t>
        </is>
      </c>
      <c r="I95" t="inlineStr">
        <is>
          <t>n/a</t>
        </is>
      </c>
      <c r="J95" t="inlineStr">
        <is>
          <t>n/a</t>
        </is>
      </c>
      <c r="K95" t="inlineStr">
        <is>
          <t>AHU_F08 CHW valve</t>
        </is>
      </c>
      <c r="L95" t="inlineStr">
        <is>
          <t>n/a</t>
        </is>
      </c>
      <c r="M95" t="inlineStr">
        <is>
          <t>AHU_F08_ValveCmd</t>
        </is>
      </c>
    </row>
    <row r="96">
      <c r="A96" t="inlineStr">
        <is>
          <t>BFV-080</t>
        </is>
      </c>
      <c r="B96" t="inlineStr">
        <is>
          <t>AETERLINK BIM generator</t>
        </is>
      </c>
      <c r="C96" t="inlineStr">
        <is>
          <t>2026-10-08</t>
        </is>
      </c>
      <c r="D96" t="inlineStr">
        <is>
          <t>Butterfly valve, lug type, PN16</t>
        </is>
      </c>
      <c r="E96" t="inlineStr">
        <is>
          <t>Chiller room</t>
        </is>
      </c>
      <c r="F96" t="inlineStr">
        <is>
          <t>BFV on CHR-F8</t>
        </is>
      </c>
      <c r="G96" t="inlineStr">
        <is>
          <t>model.py</t>
        </is>
      </c>
      <c r="H96" t="inlineStr">
        <is>
          <t>valve</t>
        </is>
      </c>
      <c r="I96" t="inlineStr">
        <is>
          <t>n/a</t>
        </is>
      </c>
      <c r="J96" t="inlineStr">
        <is>
          <t>n/a</t>
        </is>
      </c>
      <c r="K96" t="inlineStr">
        <is>
          <t>BFV-080</t>
        </is>
      </c>
      <c r="L96" t="inlineStr">
        <is>
          <t>n/a</t>
        </is>
      </c>
      <c r="M96" t="inlineStr">
        <is>
          <t>n/a</t>
        </is>
      </c>
    </row>
    <row r="97">
      <c r="A97" t="inlineStr">
        <is>
          <t>FM-082</t>
        </is>
      </c>
      <c r="B97" t="inlineStr">
        <is>
          <t>AETERLINK BIM generator</t>
        </is>
      </c>
      <c r="C97" t="inlineStr">
        <is>
          <t>2026-10-08</t>
        </is>
      </c>
      <c r="D97" t="inlineStr">
        <is>
          <t>Electromagnetic flow meter</t>
        </is>
      </c>
      <c r="E97" t="inlineStr">
        <is>
          <t>Chiller room</t>
        </is>
      </c>
      <c r="F97" t="inlineStr">
        <is>
          <t>FM on CHS-H</t>
        </is>
      </c>
      <c r="G97" t="inlineStr">
        <is>
          <t>model.py</t>
        </is>
      </c>
      <c r="H97" t="inlineStr">
        <is>
          <t>valve</t>
        </is>
      </c>
      <c r="I97" t="inlineStr">
        <is>
          <t>n/a</t>
        </is>
      </c>
      <c r="J97" t="inlineStr">
        <is>
          <t>n/a</t>
        </is>
      </c>
      <c r="K97" t="inlineStr">
        <is>
          <t>CHWFlow</t>
        </is>
      </c>
      <c r="L97" t="inlineStr">
        <is>
          <t>n/a</t>
        </is>
      </c>
      <c r="M97" t="inlineStr">
        <is>
          <t>CHWFlow</t>
        </is>
      </c>
    </row>
    <row r="98">
      <c r="A98" t="inlineStr">
        <is>
          <t>PT-083</t>
        </is>
      </c>
      <c r="B98" t="inlineStr">
        <is>
          <t>AETERLINK BIM generator</t>
        </is>
      </c>
      <c r="C98" t="inlineStr">
        <is>
          <t>2026-10-08</t>
        </is>
      </c>
      <c r="D98" t="inlineStr">
        <is>
          <t>Differential pressure transmitter 0-4 bar</t>
        </is>
      </c>
      <c r="E98" t="inlineStr">
        <is>
          <t>Chiller room</t>
        </is>
      </c>
      <c r="F98" t="inlineStr">
        <is>
          <t>PT on CHS-R</t>
        </is>
      </c>
      <c r="G98" t="inlineStr">
        <is>
          <t>model.py</t>
        </is>
      </c>
      <c r="H98" t="inlineStr">
        <is>
          <t>valve</t>
        </is>
      </c>
      <c r="I98" t="inlineStr">
        <is>
          <t>n/a</t>
        </is>
      </c>
      <c r="J98" t="inlineStr">
        <is>
          <t>n/a</t>
        </is>
      </c>
      <c r="K98" t="inlineStr">
        <is>
          <t>CHWDP</t>
        </is>
      </c>
      <c r="L98" t="inlineStr">
        <is>
          <t>n/a</t>
        </is>
      </c>
      <c r="M98" t="inlineStr">
        <is>
          <t>n/a</t>
        </is>
      </c>
    </row>
    <row r="99">
      <c r="A99" t="inlineStr">
        <is>
          <t>BFV-086</t>
        </is>
      </c>
      <c r="B99" t="inlineStr">
        <is>
          <t>AETERLINK BIM generator</t>
        </is>
      </c>
      <c r="C99" t="inlineStr">
        <is>
          <t>2026-10-08</t>
        </is>
      </c>
      <c r="D99" t="inlineStr">
        <is>
          <t>Butterfly valve, lug type, PN16</t>
        </is>
      </c>
      <c r="E99" t="inlineStr">
        <is>
          <t>Chiller room</t>
        </is>
      </c>
      <c r="F99" t="inlineStr">
        <is>
          <t>BFV on CHW-BP</t>
        </is>
      </c>
      <c r="G99" t="inlineStr">
        <is>
          <t>model.py</t>
        </is>
      </c>
      <c r="H99" t="inlineStr">
        <is>
          <t>valve</t>
        </is>
      </c>
      <c r="I99" t="inlineStr">
        <is>
          <t>n/a</t>
        </is>
      </c>
      <c r="J99" t="inlineStr">
        <is>
          <t>n/a</t>
        </is>
      </c>
      <c r="K99" t="inlineStr">
        <is>
          <t>BFV-086</t>
        </is>
      </c>
      <c r="L99" t="inlineStr">
        <is>
          <t>n/a</t>
        </is>
      </c>
      <c r="M99" t="inlineStr">
        <is>
          <t>n/a</t>
        </is>
      </c>
    </row>
    <row r="100">
      <c r="A100" t="inlineStr">
        <is>
          <t>MCV-087</t>
        </is>
      </c>
      <c r="B100" t="inlineStr">
        <is>
          <t>AETERLINK BIM generator</t>
        </is>
      </c>
      <c r="C100" t="inlineStr">
        <is>
          <t>2026-10-08</t>
        </is>
      </c>
      <c r="D100" t="inlineStr">
        <is>
          <t>Motorized control valve (modulating 0-10 V, position feedback)</t>
        </is>
      </c>
      <c r="E100" t="inlineStr">
        <is>
          <t>Chiller room</t>
        </is>
      </c>
      <c r="F100" t="inlineStr">
        <is>
          <t>MCV on CHW-BP</t>
        </is>
      </c>
      <c r="G100" t="inlineStr">
        <is>
          <t>model.py</t>
        </is>
      </c>
      <c r="H100" t="inlineStr">
        <is>
          <t>valve</t>
        </is>
      </c>
      <c r="I100" t="inlineStr">
        <is>
          <t>n/a</t>
        </is>
      </c>
      <c r="J100" t="inlineStr">
        <is>
          <t>n/a</t>
        </is>
      </c>
      <c r="K100" t="inlineStr">
        <is>
          <t>CHW bypass valve</t>
        </is>
      </c>
      <c r="L100" t="inlineStr">
        <is>
          <t>n/a</t>
        </is>
      </c>
      <c r="M100" t="inlineStr">
        <is>
          <t>Gfx_CHW_BypassMV_Pos</t>
        </is>
      </c>
    </row>
    <row r="101">
      <c r="A101" t="inlineStr">
        <is>
          <t>BFV-088</t>
        </is>
      </c>
      <c r="B101" t="inlineStr">
        <is>
          <t>AETERLINK BIM generator</t>
        </is>
      </c>
      <c r="C101" t="inlineStr">
        <is>
          <t>2026-10-08</t>
        </is>
      </c>
      <c r="D101" t="inlineStr">
        <is>
          <t>Butterfly valve, lug type, PN16</t>
        </is>
      </c>
      <c r="E101" t="inlineStr">
        <is>
          <t>Chiller room</t>
        </is>
      </c>
      <c r="F101" t="inlineStr">
        <is>
          <t>BFV on CHW-BP</t>
        </is>
      </c>
      <c r="G101" t="inlineStr">
        <is>
          <t>model.py</t>
        </is>
      </c>
      <c r="H101" t="inlineStr">
        <is>
          <t>valve</t>
        </is>
      </c>
      <c r="I101" t="inlineStr">
        <is>
          <t>n/a</t>
        </is>
      </c>
      <c r="J101" t="inlineStr">
        <is>
          <t>n/a</t>
        </is>
      </c>
      <c r="K101" t="inlineStr">
        <is>
          <t>BFV-088</t>
        </is>
      </c>
      <c r="L101" t="inlineStr">
        <is>
          <t>n/a</t>
        </is>
      </c>
      <c r="M101" t="inlineStr">
        <is>
          <t>n/a</t>
        </is>
      </c>
    </row>
    <row r="102">
      <c r="A102" t="inlineStr">
        <is>
          <t>BFV-089</t>
        </is>
      </c>
      <c r="B102" t="inlineStr">
        <is>
          <t>AETERLINK BIM generator</t>
        </is>
      </c>
      <c r="C102" t="inlineStr">
        <is>
          <t>2026-10-08</t>
        </is>
      </c>
      <c r="D102" t="inlineStr">
        <is>
          <t>Butterfly valve, lug type, PN16</t>
        </is>
      </c>
      <c r="E102" t="inlineStr">
        <is>
          <t>Chiller room</t>
        </is>
      </c>
      <c r="F102" t="inlineStr">
        <is>
          <t>BFV on CHW-ET</t>
        </is>
      </c>
      <c r="G102" t="inlineStr">
        <is>
          <t>model.py</t>
        </is>
      </c>
      <c r="H102" t="inlineStr">
        <is>
          <t>valve</t>
        </is>
      </c>
      <c r="I102" t="inlineStr">
        <is>
          <t>n/a</t>
        </is>
      </c>
      <c r="J102" t="inlineStr">
        <is>
          <t>n/a</t>
        </is>
      </c>
      <c r="K102" t="inlineStr">
        <is>
          <t>BFV-089</t>
        </is>
      </c>
      <c r="L102" t="inlineStr">
        <is>
          <t>n/a</t>
        </is>
      </c>
      <c r="M102" t="inlineStr">
        <is>
          <t>n/a</t>
        </is>
      </c>
    </row>
    <row r="103">
      <c r="A103" t="inlineStr">
        <is>
          <t>FM-091</t>
        </is>
      </c>
      <c r="B103" t="inlineStr">
        <is>
          <t>AETERLINK BIM generator</t>
        </is>
      </c>
      <c r="C103" t="inlineStr">
        <is>
          <t>2026-10-08</t>
        </is>
      </c>
      <c r="D103" t="inlineStr">
        <is>
          <t>Electromagnetic flow meter</t>
        </is>
      </c>
      <c r="E103" t="inlineStr">
        <is>
          <t>Chiller room</t>
        </is>
      </c>
      <c r="F103" t="inlineStr">
        <is>
          <t>FM on CDS-CH</t>
        </is>
      </c>
      <c r="G103" t="inlineStr">
        <is>
          <t>model.py</t>
        </is>
      </c>
      <c r="H103" t="inlineStr">
        <is>
          <t>valve</t>
        </is>
      </c>
      <c r="I103" t="inlineStr">
        <is>
          <t>n/a</t>
        </is>
      </c>
      <c r="J103" t="inlineStr">
        <is>
          <t>n/a</t>
        </is>
      </c>
      <c r="K103" t="inlineStr">
        <is>
          <t>CDW_Flow</t>
        </is>
      </c>
      <c r="L103" t="inlineStr">
        <is>
          <t>n/a</t>
        </is>
      </c>
      <c r="M103" t="inlineStr">
        <is>
          <t>CDW_Flow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2026-10-08T05:03:43Z</dcterms:created>
  <dcterms:modified xmlns:dcterms="http://purl.org/dc/terms/" xmlns:xsi="http://www.w3.org/2001/XMLSchema-instance" xsi:type="dcterms:W3CDTF">2026-10-08T05:03:43Z</dcterms:modified>
</cp:coreProperties>
</file>